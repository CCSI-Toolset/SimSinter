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665" yWindow="210" windowWidth="14445" windowHeight="14745"/>
  </bookViews>
  <sheets>
    <sheet name="Interface" sheetId="1" r:id="rId1"/>
    <sheet name="Layout" sheetId="2" r:id="rId2"/>
    <sheet name="Calculations" sheetId="4" r:id="rId3"/>
    <sheet name="Capital Cost" sheetId="5" r:id="rId4"/>
    <sheet name="COE" sheetId="6" r:id="rId5"/>
    <sheet name="Series" sheetId="7" r:id="rId6"/>
  </sheets>
  <functionGroups/>
  <definedNames>
    <definedName name="LEAN.LOADING">Interface!#REF!</definedName>
  </definedNames>
  <calcPr calcId="125725"/>
</workbook>
</file>

<file path=xl/calcChain.xml><?xml version="1.0" encoding="utf-8"?>
<calcChain xmlns="http://schemas.openxmlformats.org/spreadsheetml/2006/main">
  <c r="C64" i="4"/>
  <c r="C65"/>
  <c r="C66"/>
  <c r="C67"/>
  <c r="C68"/>
  <c r="C69"/>
  <c r="C70"/>
  <c r="C11" i="6"/>
  <c r="C115" i="4"/>
  <c r="D85" i="5" s="1"/>
  <c r="D88" s="1"/>
  <c r="C114" i="4"/>
  <c r="E61" i="5"/>
  <c r="D61"/>
  <c r="D46"/>
  <c r="D45"/>
  <c r="D50" s="1"/>
  <c r="H17"/>
  <c r="H15"/>
  <c r="G19"/>
  <c r="G17"/>
  <c r="G15"/>
  <c r="E16"/>
  <c r="H14"/>
  <c r="G14"/>
  <c r="C49" i="4"/>
  <c r="C20" i="5" s="1"/>
  <c r="C48" i="4"/>
  <c r="C18" i="5" s="1"/>
  <c r="C94" i="4"/>
  <c r="H20" i="5" s="1"/>
  <c r="C93" i="4"/>
  <c r="G20" i="5" s="1"/>
  <c r="C92" i="4"/>
  <c r="F20" i="5" s="1"/>
  <c r="C91" i="4"/>
  <c r="E20" i="5" s="1"/>
  <c r="I20" s="1"/>
  <c r="C110" i="4"/>
  <c r="E63" i="5" s="1"/>
  <c r="E64" s="1"/>
  <c r="C109" i="4"/>
  <c r="E62" i="5" s="1"/>
  <c r="C106" i="4"/>
  <c r="D62" i="5" s="1"/>
  <c r="C107" i="4"/>
  <c r="D63" i="5" s="1"/>
  <c r="D64" s="1"/>
  <c r="C102" i="4"/>
  <c r="C101"/>
  <c r="E19" i="5" s="1"/>
  <c r="C99" i="4"/>
  <c r="F17" i="5" s="1"/>
  <c r="C98" i="4"/>
  <c r="E17" i="5" s="1"/>
  <c r="I17" s="1"/>
  <c r="C89" i="4"/>
  <c r="H18" i="5" s="1"/>
  <c r="C88" i="4"/>
  <c r="G18" i="5" s="1"/>
  <c r="C87" i="4"/>
  <c r="F18" i="5" s="1"/>
  <c r="C86" i="4"/>
  <c r="E18" i="5" s="1"/>
  <c r="I18" s="1"/>
  <c r="H58" i="4"/>
  <c r="C63"/>
  <c r="H57" s="1"/>
  <c r="C84"/>
  <c r="F15" i="5" s="1"/>
  <c r="C83" i="4"/>
  <c r="E15" i="5" s="1"/>
  <c r="I15" s="1"/>
  <c r="C81" i="4"/>
  <c r="F14" i="5" s="1"/>
  <c r="C80" i="4"/>
  <c r="E14" i="5" s="1"/>
  <c r="I14" s="1"/>
  <c r="C96" i="4"/>
  <c r="F7" s="1"/>
  <c r="C76"/>
  <c r="C61"/>
  <c r="H54" s="1"/>
  <c r="C60"/>
  <c r="H55" s="1"/>
  <c r="C56"/>
  <c r="H39" s="1"/>
  <c r="C55"/>
  <c r="H38" s="1"/>
  <c r="C54"/>
  <c r="H37" s="1"/>
  <c r="C38" i="6" s="1"/>
  <c r="C53" i="4"/>
  <c r="H36" s="1"/>
  <c r="H41" s="1"/>
  <c r="C44"/>
  <c r="C39"/>
  <c r="C40"/>
  <c r="C41"/>
  <c r="C42"/>
  <c r="C43"/>
  <c r="C38"/>
  <c r="C37"/>
  <c r="C19" i="5" s="1"/>
  <c r="C36" i="4"/>
  <c r="C17" i="5" s="1"/>
  <c r="C28" s="1"/>
  <c r="C35" i="4"/>
  <c r="C15" i="5" s="1"/>
  <c r="C26" s="1"/>
  <c r="C29" i="4"/>
  <c r="H27" s="1"/>
  <c r="H29" s="1"/>
  <c r="H30" s="1"/>
  <c r="C30"/>
  <c r="C16" i="5" s="1"/>
  <c r="C34" i="4"/>
  <c r="H49" s="1"/>
  <c r="C25"/>
  <c r="C24"/>
  <c r="H18" s="1"/>
  <c r="C23"/>
  <c r="C22"/>
  <c r="H17" s="1"/>
  <c r="H19" s="1"/>
  <c r="C20" i="6" s="1"/>
  <c r="H5" i="4"/>
  <c r="F11" s="1"/>
  <c r="H53"/>
  <c r="H50"/>
  <c r="H32"/>
  <c r="C6" i="1"/>
  <c r="F13" i="4" l="1"/>
  <c r="H19" i="5" s="1"/>
  <c r="F9" i="4"/>
  <c r="F10"/>
  <c r="C29" i="6"/>
  <c r="C37"/>
  <c r="E71" i="5"/>
  <c r="E66"/>
  <c r="D66"/>
  <c r="C29"/>
  <c r="C31"/>
  <c r="F8" i="4"/>
  <c r="C14" i="5"/>
  <c r="C25" s="1"/>
  <c r="H16"/>
  <c r="I16" s="1"/>
  <c r="C27" s="1"/>
  <c r="D27" s="1"/>
  <c r="E27" s="1"/>
  <c r="F27" s="1"/>
  <c r="G27" s="1"/>
  <c r="H27" s="1"/>
  <c r="I27" s="1"/>
  <c r="F19"/>
  <c r="I19" s="1"/>
  <c r="C30" s="1"/>
  <c r="D30" s="1"/>
  <c r="D78"/>
  <c r="D80" s="1"/>
  <c r="D82" s="1"/>
  <c r="D84"/>
  <c r="D90" s="1"/>
  <c r="D97"/>
  <c r="C19" i="6" s="1"/>
  <c r="D89" i="5"/>
  <c r="D92" s="1"/>
  <c r="D71"/>
  <c r="D70"/>
  <c r="E70"/>
  <c r="D67"/>
  <c r="E67"/>
  <c r="D48"/>
  <c r="D25"/>
  <c r="D26"/>
  <c r="D28"/>
  <c r="D29"/>
  <c r="D31"/>
  <c r="H51" i="4"/>
  <c r="H22"/>
  <c r="H23"/>
  <c r="H47"/>
  <c r="H60"/>
  <c r="H61" s="1"/>
  <c r="C27" i="6" s="1"/>
  <c r="H28" i="4"/>
  <c r="H20"/>
  <c r="H42" l="1"/>
  <c r="C36" i="6" s="1"/>
  <c r="C40" s="1"/>
  <c r="C39"/>
  <c r="E69" i="5"/>
  <c r="E73" s="1"/>
  <c r="E74" s="1"/>
  <c r="D69"/>
  <c r="D73" s="1"/>
  <c r="D74" s="1"/>
  <c r="E31"/>
  <c r="F31" s="1"/>
  <c r="G31" s="1"/>
  <c r="H31" s="1"/>
  <c r="I31" s="1"/>
  <c r="E30"/>
  <c r="F30" s="1"/>
  <c r="G30" s="1"/>
  <c r="H30" s="1"/>
  <c r="I30" s="1"/>
  <c r="E29"/>
  <c r="F29" s="1"/>
  <c r="G29" s="1"/>
  <c r="H29" s="1"/>
  <c r="I29" s="1"/>
  <c r="E28"/>
  <c r="F28" s="1"/>
  <c r="G28" s="1"/>
  <c r="H28" s="1"/>
  <c r="I28" s="1"/>
  <c r="E26"/>
  <c r="F26" s="1"/>
  <c r="G26" s="1"/>
  <c r="H26" s="1"/>
  <c r="I26" s="1"/>
  <c r="E25"/>
  <c r="F25" s="1"/>
  <c r="G25" s="1"/>
  <c r="H25" s="1"/>
  <c r="I25" s="1"/>
  <c r="D34" s="1"/>
  <c r="D101" s="1"/>
  <c r="D49"/>
  <c r="D51" s="1"/>
  <c r="D53" s="1"/>
  <c r="C18" i="6" l="1"/>
  <c r="C21" s="1"/>
  <c r="D102" i="5"/>
  <c r="D103" s="1"/>
  <c r="C26" i="6" l="1"/>
  <c r="C32" s="1"/>
  <c r="C43" l="1"/>
  <c r="E43" s="1"/>
  <c r="C42" l="1"/>
</calcChain>
</file>

<file path=xl/comments1.xml><?xml version="1.0" encoding="utf-8"?>
<comments xmlns="http://schemas.openxmlformats.org/spreadsheetml/2006/main">
  <authors>
    <author>jeslick</author>
  </authors>
  <commentList>
    <comment ref="B10" authorId="0">
      <text>
        <r>
          <rPr>
            <sz val="8"/>
            <color indexed="81"/>
            <rFont val="Tahoma"/>
            <charset val="1"/>
          </rPr>
          <t xml:space="preserve">macro to run min:  max:  default: </t>
        </r>
      </text>
    </comment>
    <comment ref="F10" authorId="0">
      <text>
        <r>
          <rPr>
            <sz val="8"/>
            <color indexed="81"/>
            <rFont val="Tahoma"/>
            <charset val="1"/>
          </rPr>
          <t>sum of x and y</t>
        </r>
      </text>
    </comment>
    <comment ref="B11" authorId="0">
      <text>
        <r>
          <rPr>
            <sz val="8"/>
            <color indexed="81"/>
            <rFont val="Tahoma"/>
            <charset val="1"/>
          </rPr>
          <t>y variable min: 0 max: 0 default: 2</t>
        </r>
      </text>
    </comment>
    <comment ref="B12" authorId="0">
      <text>
        <r>
          <rPr>
            <sz val="8"/>
            <color indexed="81"/>
            <rFont val="Tahoma"/>
            <charset val="1"/>
          </rPr>
          <t>x variable min: 0 max: 0 default: 2</t>
        </r>
      </text>
    </comment>
  </commentList>
</comments>
</file>

<file path=xl/comments2.xml><?xml version="1.0" encoding="utf-8"?>
<comments xmlns="http://schemas.openxmlformats.org/spreadsheetml/2006/main">
  <authors>
    <author>jeslick</author>
  </authors>
  <commentList>
    <comment ref="C9" authorId="0">
      <text>
        <r>
          <rPr>
            <b/>
            <sz val="8"/>
            <color indexed="81"/>
            <rFont val="Tahoma"/>
            <family val="2"/>
          </rPr>
          <t xml:space="preserve">Input or Output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Show name and description comment in the cell to the left</t>
        </r>
      </text>
    </comment>
  </commentList>
</comments>
</file>

<file path=xl/sharedStrings.xml><?xml version="1.0" encoding="utf-8"?>
<sst xmlns="http://schemas.openxmlformats.org/spreadsheetml/2006/main" count="518" uniqueCount="343">
  <si>
    <t>Setup File:</t>
  </si>
  <si>
    <t>run id:</t>
  </si>
  <si>
    <t>strart time:</t>
  </si>
  <si>
    <t>end time:</t>
  </si>
  <si>
    <t>elapsed time (s):</t>
  </si>
  <si>
    <t>If you delete an input variable, the simulation will run with the default value.</t>
  </si>
  <si>
    <t>After running auto layout you can modify the locations of variables, or delete rows entirly.</t>
  </si>
  <si>
    <t>After the layout is done, run the draw interface macro to put in intial values and lables.</t>
  </si>
  <si>
    <t>Before running auto layout, delete the existing layout and interface sheet.</t>
  </si>
  <si>
    <t>Once the layout is done you should usully not need to mess with this.  You can then pretty up the format manually</t>
  </si>
  <si>
    <t>Varaibles (If you make changes on the layout sheet delete below then redraw the layout):</t>
  </si>
  <si>
    <t>0 -- Index</t>
  </si>
  <si>
    <t>1 -- Name</t>
  </si>
  <si>
    <t>2 -- Mode</t>
  </si>
  <si>
    <t>3 -- Type1</t>
  </si>
  <si>
    <t>4 -- Sheet</t>
  </si>
  <si>
    <t>5 -- Cell</t>
  </si>
  <si>
    <t>6 -- Show Name</t>
  </si>
  <si>
    <t>8 -- Row</t>
  </si>
  <si>
    <t>9 -- Col</t>
  </si>
  <si>
    <t>10 -- Row Label</t>
  </si>
  <si>
    <t>11 -- Col Label</t>
  </si>
  <si>
    <t>7 -- Table Name</t>
  </si>
  <si>
    <t>scalar</t>
  </si>
  <si>
    <t>Interface</t>
  </si>
  <si>
    <t>input</t>
  </si>
  <si>
    <t>$C$10</t>
  </si>
  <si>
    <t>$C$11</t>
  </si>
  <si>
    <t>$C$12</t>
  </si>
  <si>
    <t>output</t>
  </si>
  <si>
    <t>$G$10</t>
  </si>
  <si>
    <t>lb/hr</t>
  </si>
  <si>
    <t>Btu/hr</t>
  </si>
  <si>
    <t>Run Options</t>
  </si>
  <si>
    <t>Restart every run:</t>
  </si>
  <si>
    <t>Run defaults first:</t>
  </si>
  <si>
    <t>Reboiler temperature &lt; 248 F (120 C)</t>
  </si>
  <si>
    <t>Lean solvent cooler temperture &lt; lean solvent temperture going into lean solvent cooler</t>
  </si>
  <si>
    <t>Stripper interheater hot side T &gt; stripper interecooler cold side T (end 1)</t>
  </si>
  <si>
    <t>Stripper interheater hot side T &gt; stripper interecooler cold side T (end 2)</t>
  </si>
  <si>
    <t>lb/s</t>
  </si>
  <si>
    <t>Reboiler Duty</t>
  </si>
  <si>
    <t>CO2 Capture Fraction</t>
  </si>
  <si>
    <t>Steam Use All 7 Trains</t>
  </si>
  <si>
    <t>Btu/lb CO2 captured</t>
  </si>
  <si>
    <t>Absorber intercooler temperture</t>
  </si>
  <si>
    <t>General Information</t>
  </si>
  <si>
    <t>Power Plant</t>
  </si>
  <si>
    <t>Water use for base plant</t>
  </si>
  <si>
    <t>MW</t>
  </si>
  <si>
    <t>Auxilary Power</t>
  </si>
  <si>
    <t>Compressor Power (both trains)</t>
  </si>
  <si>
    <t>CO2 in (7 trains)</t>
  </si>
  <si>
    <t>CO2 left (7 trains)</t>
  </si>
  <si>
    <t>CO2 Captured (7 trains)</t>
  </si>
  <si>
    <t>Flue Gas Blower (7 trains)</t>
  </si>
  <si>
    <t>Solvent Pump (7 trains)</t>
  </si>
  <si>
    <t>Stripper Vap. Recomp (7 trains)</t>
  </si>
  <si>
    <t>Net Power base plant</t>
  </si>
  <si>
    <t>Net Power (with cap)</t>
  </si>
  <si>
    <t>Total aux power</t>
  </si>
  <si>
    <t>Water use for base plant (no ext)</t>
  </si>
  <si>
    <t>Base Plant</t>
  </si>
  <si>
    <t>Total Cooling</t>
  </si>
  <si>
    <t>Water Evap/Btu</t>
  </si>
  <si>
    <t>lb/Btu</t>
  </si>
  <si>
    <t>Water Use in Cooling</t>
  </si>
  <si>
    <t>Direct Contact Cooler</t>
  </si>
  <si>
    <t>Makeup water</t>
  </si>
  <si>
    <t>wash water</t>
  </si>
  <si>
    <t>Knock out water fg cool</t>
  </si>
  <si>
    <t>Knock out water compressor</t>
  </si>
  <si>
    <t>Total Water Use</t>
  </si>
  <si>
    <t>Total water minus knock out</t>
  </si>
  <si>
    <t>Water Use (all 7 trains)</t>
  </si>
  <si>
    <t>status:</t>
  </si>
  <si>
    <t>Description</t>
  </si>
  <si>
    <t>Cell</t>
  </si>
  <si>
    <t>Type</t>
  </si>
  <si>
    <t>Elapsed Time (s)</t>
  </si>
  <si>
    <t>Interface!C6</t>
  </si>
  <si>
    <t>Run Status</t>
  </si>
  <si>
    <t>Interface!C7</t>
  </si>
  <si>
    <t>Lean loading (mol CO2/mol MEA)</t>
  </si>
  <si>
    <t>Interface!C11</t>
  </si>
  <si>
    <t>Some Simple Calculations</t>
  </si>
  <si>
    <t>Data From Simulation</t>
  </si>
  <si>
    <t>Flue Gas in Mass Flow</t>
  </si>
  <si>
    <t>Flue Gas in CO2 Concentraction</t>
  </si>
  <si>
    <t>Flue Gas out Mass Flow</t>
  </si>
  <si>
    <t>Flue Gas out CO2 Concentraction</t>
  </si>
  <si>
    <t>lb CO2/lb gas</t>
  </si>
  <si>
    <t>Flue Gas</t>
  </si>
  <si>
    <t>There are 7 MEA trains and 2 compressor trains.</t>
  </si>
  <si>
    <t>Reboiler</t>
  </si>
  <si>
    <t>Cooling Duties</t>
  </si>
  <si>
    <t>Flue Gas Cooler</t>
  </si>
  <si>
    <t>Absorber intercooler (1/7)</t>
  </si>
  <si>
    <t>Flue Gas Cooler (1/7)</t>
  </si>
  <si>
    <t>Condenser (1/7)</t>
  </si>
  <si>
    <t>Lean Solvent Cooler (1/7)</t>
  </si>
  <si>
    <t>Compressor Intercooler 1 (1/2)</t>
  </si>
  <si>
    <t>Compressor Intercooler 2 (1/2)</t>
  </si>
  <si>
    <t>Compressor Intercooler 3 (1/2)</t>
  </si>
  <si>
    <t>Compressor Intercooler 4 (1/2)</t>
  </si>
  <si>
    <t>Compressor Intercooler 5 (1/2)</t>
  </si>
  <si>
    <t>Compressor Intercooler 6 (1/2)</t>
  </si>
  <si>
    <t>Compressor Aftercooler (1/2)</t>
  </si>
  <si>
    <t>Compressor Power (1/2)</t>
  </si>
  <si>
    <t>Flue Gas Blower (1/7)</t>
  </si>
  <si>
    <t>Solvent Pump (1/7)</t>
  </si>
  <si>
    <t>Stripper Vap. Recomp (1/7 trains)</t>
  </si>
  <si>
    <t>Water Use</t>
  </si>
  <si>
    <t>MEA Use</t>
  </si>
  <si>
    <t>hp</t>
  </si>
  <si>
    <t>Heat Duty (1/7)</t>
  </si>
  <si>
    <t>35 psia, Steam Use (1/7)</t>
  </si>
  <si>
    <t>Wash Water (1/7)</t>
  </si>
  <si>
    <t>Makeup Water (1/7)</t>
  </si>
  <si>
    <t>MEA Makeup (1/7)</t>
  </si>
  <si>
    <t>User Input</t>
  </si>
  <si>
    <t>T Cooling Water In</t>
  </si>
  <si>
    <t>T Cooling Water Out</t>
  </si>
  <si>
    <t>F</t>
  </si>
  <si>
    <t>Water Evap per Cooling Duty</t>
  </si>
  <si>
    <t>lb H2O/Btu</t>
  </si>
  <si>
    <t>Direct Contact Cooler NaOH (1/7)</t>
  </si>
  <si>
    <t>Direct Contact Cooler Water (1/7)</t>
  </si>
  <si>
    <t>Heat Exchanger Temperatures</t>
  </si>
  <si>
    <t xml:space="preserve">T 35 psia Steam Sat </t>
  </si>
  <si>
    <t>T reboiler</t>
  </si>
  <si>
    <t xml:space="preserve">Cooling Temperture Approach </t>
  </si>
  <si>
    <t>T Lowest With Cooling Water</t>
  </si>
  <si>
    <t>T Lean/Rich Hot In</t>
  </si>
  <si>
    <t>T Lean/Rich Hot Out</t>
  </si>
  <si>
    <t>T Lean/Rich Cold In</t>
  </si>
  <si>
    <t>T Lean/Rich Cold Out</t>
  </si>
  <si>
    <t>Abs Intercooler Hot In</t>
  </si>
  <si>
    <t>Abs Intercooler Hot Out</t>
  </si>
  <si>
    <t>Flue Gas Cooler Hot In</t>
  </si>
  <si>
    <t>Flue Gas Cooler Hot Out</t>
  </si>
  <si>
    <t>Condenser Hot In</t>
  </si>
  <si>
    <t>Condenser Hot Out</t>
  </si>
  <si>
    <t>Lean Solvent Cooler Hot In</t>
  </si>
  <si>
    <t>Lean Solvent Cooler Hot Out</t>
  </si>
  <si>
    <t>Column Dimensions</t>
  </si>
  <si>
    <t>Absorber Diameter</t>
  </si>
  <si>
    <t>Absorber Height</t>
  </si>
  <si>
    <t>Stripper Diameter</t>
  </si>
  <si>
    <t>Stripper Height</t>
  </si>
  <si>
    <t>ft</t>
  </si>
  <si>
    <t>kJ/kg CO2 captured</t>
  </si>
  <si>
    <t>FG cooler knock out (1/7)</t>
  </si>
  <si>
    <t>Compressor knockout  1 (1/7)</t>
  </si>
  <si>
    <t>Compressor knockout  2 (1/7)</t>
  </si>
  <si>
    <t>Compressor knockout  3 (1/7)</t>
  </si>
  <si>
    <t>Compressor knockout  4 (1/7)</t>
  </si>
  <si>
    <t>Compressor knockout  5 (1/7)</t>
  </si>
  <si>
    <t>Compressor knockout  6 (1/7)</t>
  </si>
  <si>
    <t>Compressor knockout  AC (1/7)</t>
  </si>
  <si>
    <t>Other Heat Exchanger Duties</t>
  </si>
  <si>
    <t>Lean/Rich Exchanger Duty (1/7)</t>
  </si>
  <si>
    <t>Stripper Interheater (1/7)</t>
  </si>
  <si>
    <t>Stripper Interheater Hot in</t>
  </si>
  <si>
    <t>Stripper Interheater Hot out</t>
  </si>
  <si>
    <t>Stripper Interheater Cold in</t>
  </si>
  <si>
    <t>Stripper Interheater Cold out</t>
  </si>
  <si>
    <t>Capital Cost</t>
  </si>
  <si>
    <t>Duty</t>
  </si>
  <si>
    <t>Hot Side Tin</t>
  </si>
  <si>
    <t>Hot Side Tout</t>
  </si>
  <si>
    <t>Cold Side Tin</t>
  </si>
  <si>
    <t>Cold Side Tout</t>
  </si>
  <si>
    <t>LMTD</t>
  </si>
  <si>
    <t>Over Size Factor</t>
  </si>
  <si>
    <t>(Btu/hr)</t>
  </si>
  <si>
    <t>(Btu/hr-ft2-°F)</t>
  </si>
  <si>
    <t>(°F)</t>
  </si>
  <si>
    <t>Absorber Intercooler</t>
  </si>
  <si>
    <t>--</t>
  </si>
  <si>
    <t>Condenser</t>
  </si>
  <si>
    <t>Lean/Rich Heat Exchanger</t>
  </si>
  <si>
    <t>Lean Cooler</t>
  </si>
  <si>
    <t>Total Area</t>
  </si>
  <si>
    <t>N units</t>
  </si>
  <si>
    <t>Area Per Unit</t>
  </si>
  <si>
    <t>Cost Per Unit</t>
  </si>
  <si>
    <t>Total Cost (1/7)</t>
  </si>
  <si>
    <t>Total Cost</t>
  </si>
  <si>
    <t>(ft2)</t>
  </si>
  <si>
    <t>($ CI = 500)</t>
  </si>
  <si>
    <t>Stripper Interheater</t>
  </si>
  <si>
    <t>Heat Exchangers (compressor coolers are included in compressor cost)</t>
  </si>
  <si>
    <t>U*</t>
  </si>
  <si>
    <t>*U estimate in range given by Coulson and Richardson's Chemical engineering vol 1 6th ed pg 519</t>
  </si>
  <si>
    <t>Capital Cost User Inputs</t>
  </si>
  <si>
    <t>Cost index:</t>
  </si>
  <si>
    <t>($ CI = $C$5)</t>
  </si>
  <si>
    <t>7 trains ($CI=$C$5)</t>
  </si>
  <si>
    <t>Total heat exchanger FOB cost 7 trians</t>
  </si>
  <si>
    <t>$</t>
  </si>
  <si>
    <t>Lang Factor</t>
  </si>
  <si>
    <t>Lang Factor:</t>
  </si>
  <si>
    <t>Delivery Charge:</t>
  </si>
  <si>
    <t>Tower Material Density</t>
  </si>
  <si>
    <r>
      <t>lbs/ft</t>
    </r>
    <r>
      <rPr>
        <vertAlign val="superscript"/>
        <sz val="11"/>
        <color indexed="8"/>
        <rFont val="Calibri"/>
        <family val="2"/>
      </rPr>
      <t>3</t>
    </r>
  </si>
  <si>
    <t>density of carbon steel</t>
  </si>
  <si>
    <t>Thickness</t>
  </si>
  <si>
    <t>in</t>
  </si>
  <si>
    <t>Vol flow Gas</t>
  </si>
  <si>
    <t>ft3/s</t>
  </si>
  <si>
    <t>Velocity</t>
  </si>
  <si>
    <t>ft/s</t>
  </si>
  <si>
    <t>Contact Time</t>
  </si>
  <si>
    <t>s</t>
  </si>
  <si>
    <t>Matrerial Cost Factor</t>
  </si>
  <si>
    <t>carbon steel</t>
  </si>
  <si>
    <t>Diameter</t>
  </si>
  <si>
    <t>Height</t>
  </si>
  <si>
    <t>Weight</t>
  </si>
  <si>
    <t>lbs</t>
  </si>
  <si>
    <t>ssl eq 22.59</t>
  </si>
  <si>
    <t>ssl eq 22.54</t>
  </si>
  <si>
    <t>Cost for all 7 trains</t>
  </si>
  <si>
    <t>Vessel Cost CI=$C$5</t>
  </si>
  <si>
    <t>Platforms and ladders CI=$C$5</t>
  </si>
  <si>
    <t>total spray tower cost CI=$C$5</t>
  </si>
  <si>
    <t>Absorber</t>
  </si>
  <si>
    <t>Stripper</t>
  </si>
  <si>
    <t>Material Factor</t>
  </si>
  <si>
    <t>Material Density</t>
  </si>
  <si>
    <r>
      <t>lb/ft</t>
    </r>
    <r>
      <rPr>
        <vertAlign val="superscript"/>
        <sz val="11"/>
        <color indexed="8"/>
        <rFont val="Calibri"/>
        <family val="2"/>
      </rPr>
      <t>3</t>
    </r>
  </si>
  <si>
    <t>Packing Price (CI=500)</t>
  </si>
  <si>
    <r>
      <t>$/ft</t>
    </r>
    <r>
      <rPr>
        <vertAlign val="superscript"/>
        <sz val="11"/>
        <color indexed="8"/>
        <rFont val="Calibri"/>
        <family val="2"/>
      </rPr>
      <t>3</t>
    </r>
  </si>
  <si>
    <t>Packing Diameter</t>
  </si>
  <si>
    <t>Packing Height</t>
  </si>
  <si>
    <t>Tower Height</t>
  </si>
  <si>
    <t>Shell Thickness</t>
  </si>
  <si>
    <t>Packing Volume</t>
  </si>
  <si>
    <r>
      <t>ft</t>
    </r>
    <r>
      <rPr>
        <vertAlign val="superscript"/>
        <sz val="11"/>
        <color indexed="8"/>
        <rFont val="Calibri"/>
        <family val="2"/>
      </rPr>
      <t>3</t>
    </r>
  </si>
  <si>
    <t>Shell Weight</t>
  </si>
  <si>
    <t>lb</t>
  </si>
  <si>
    <t>Total Cost (7/7)</t>
  </si>
  <si>
    <t>Absorber and Stripper Cost</t>
  </si>
  <si>
    <t>Packing Price (CI=$C$5)</t>
  </si>
  <si>
    <t>Packing Cost CI=$C$5</t>
  </si>
  <si>
    <t>Platforms and Ladders Cost CI=$C$5</t>
  </si>
  <si>
    <t>Flue Gas Blower Power/unit</t>
  </si>
  <si>
    <t>Flue Gas Blower number of units (1/7)</t>
  </si>
  <si>
    <t>Cost of Blowers 7 trains</t>
  </si>
  <si>
    <t>solvent pump power</t>
  </si>
  <si>
    <t>solvent pump volume</t>
  </si>
  <si>
    <t>gpm</t>
  </si>
  <si>
    <t>Assuming the solvent density is 8.32 lb/gal</t>
  </si>
  <si>
    <t>Solvent Pumps Material Factor</t>
  </si>
  <si>
    <t>Cast Steel</t>
  </si>
  <si>
    <t>solvent pump head</t>
  </si>
  <si>
    <t>ft H2O</t>
  </si>
  <si>
    <t>dP = 20 psi</t>
  </si>
  <si>
    <t>solvent pump size factor (S)</t>
  </si>
  <si>
    <t>SSL equation 22.13</t>
  </si>
  <si>
    <t>solvent pump cost CI=527</t>
  </si>
  <si>
    <t>SSL equation 22.14, 22.15</t>
  </si>
  <si>
    <t>solvent pump motor cost CI=527</t>
  </si>
  <si>
    <t>SSL equation 22.19, using Aspen's power calculation</t>
  </si>
  <si>
    <t>Cost of Solvent Pump 7 trains</t>
  </si>
  <si>
    <t>Pumps and Blowers</t>
  </si>
  <si>
    <t>Cost of Blowers CI=C5 1 train</t>
  </si>
  <si>
    <t>Solvent Flow</t>
  </si>
  <si>
    <t>Lean-01</t>
  </si>
  <si>
    <t>Rich-01</t>
  </si>
  <si>
    <t>Compressor Cost</t>
  </si>
  <si>
    <t>Compressor cost factor</t>
  </si>
  <si>
    <t>$/hp</t>
  </si>
  <si>
    <t>Compressor cost</t>
  </si>
  <si>
    <t>Total Capital Cost</t>
  </si>
  <si>
    <t>Total FOB Cost</t>
  </si>
  <si>
    <t>Total Delivered Cost</t>
  </si>
  <si>
    <t>Total Capital Cost for Capture System</t>
  </si>
  <si>
    <t>Delivery Factor</t>
  </si>
  <si>
    <t>TS&amp;M</t>
  </si>
  <si>
    <t>COE for Base Simulation Case</t>
  </si>
  <si>
    <t>Capacity Factor</t>
  </si>
  <si>
    <t>Capital Charge Factors for COE Equation</t>
  </si>
  <si>
    <t>High Risk</t>
  </si>
  <si>
    <t>Capital Cost (TOC)</t>
  </si>
  <si>
    <t>Basis</t>
  </si>
  <si>
    <t>Reference</t>
  </si>
  <si>
    <t>SC Plant Capital Cost</t>
  </si>
  <si>
    <t>2007, 650MW</t>
  </si>
  <si>
    <t>MEA System Capital Cost</t>
  </si>
  <si>
    <t>Initial Chemical Cost</t>
  </si>
  <si>
    <t>Scaled From case 1E based on co2 captured</t>
  </si>
  <si>
    <t>Total</t>
  </si>
  <si>
    <t>Annual O&amp;M Cost (Capacity Factor is applied)</t>
  </si>
  <si>
    <t>$/yr</t>
  </si>
  <si>
    <t>Fixed Operating &amp; Maintenance w/o Capture</t>
  </si>
  <si>
    <t>Fixed Operating &amp; Maintenance w/ MEA</t>
  </si>
  <si>
    <t>Variable Manteinance Cost</t>
  </si>
  <si>
    <t>From Simulation</t>
  </si>
  <si>
    <t>Variable Chemicals Cost (base palnt)</t>
  </si>
  <si>
    <t>Variable (capture chemical cost)</t>
  </si>
  <si>
    <t>Variable Other Costs</t>
  </si>
  <si>
    <t>Variable Waste Disposal Cost</t>
  </si>
  <si>
    <t>Total Variable Cost w/ Capture</t>
  </si>
  <si>
    <t>Fuel Cost</t>
  </si>
  <si>
    <t>Net Power Output w/o Capture</t>
  </si>
  <si>
    <t>Net Power Output w/ Capture</t>
  </si>
  <si>
    <t>Calculated by John's model</t>
  </si>
  <si>
    <t>Power Demand for MB System</t>
  </si>
  <si>
    <t>Power Loss due to Steam Extraction</t>
  </si>
  <si>
    <t>From John's corelation</t>
  </si>
  <si>
    <t>COE ($/MWh) for TS&amp;M (Transport, Storage and Monitoring)</t>
  </si>
  <si>
    <t>COE ($/MWh) w/o Capture</t>
  </si>
  <si>
    <t>COE ($/MWh) w/ capture</t>
  </si>
  <si>
    <t>% Increase</t>
  </si>
  <si>
    <t>* COE w/ capture value is based on "High Risk" factor.</t>
  </si>
  <si>
    <t xml:space="preserve">* CO2 Compression: 90% capture of CO2 from the flue gas for the 650 MW plant. </t>
  </si>
  <si>
    <t>* CP Report: (NETL, May 2011) Cost and Performance of PC and IGCC Plants for a Range of Carbon Dioxide Capture</t>
  </si>
  <si>
    <t>$/lb CO2</t>
  </si>
  <si>
    <t>Compression System Capital Cost</t>
  </si>
  <si>
    <t>Power Demand for CO2 Compression</t>
  </si>
  <si>
    <t>Sizing Factor for 550MW -&gt; 650 MW</t>
  </si>
  <si>
    <t>CCF High Risk</t>
  </si>
  <si>
    <t>From Cost_1E scaled to 650 MW</t>
  </si>
  <si>
    <t>From Cost_0 scaled to 650 MW</t>
  </si>
  <si>
    <t>CP Report, pp187 scaled to 650MW</t>
  </si>
  <si>
    <t>Using the ratio of operating cost between this and Cost_1E</t>
  </si>
  <si>
    <t xml:space="preserve">Variable Water Cost </t>
  </si>
  <si>
    <t>Water Cost</t>
  </si>
  <si>
    <t>$/1000 gal</t>
  </si>
  <si>
    <t>MEA Cost</t>
  </si>
  <si>
    <t>NaOH Cost</t>
  </si>
  <si>
    <t>$/ton</t>
  </si>
  <si>
    <t>COE ($/MWh) w/ capture no TS&amp;M</t>
  </si>
  <si>
    <t>Cooling water outlet T from lean solvent cooler to make sure it is not higher or too close to solvent inlet T</t>
  </si>
  <si>
    <t>Constraints (negitive is okay, positive is a violation)</t>
  </si>
  <si>
    <t>100% capacity</t>
  </si>
  <si>
    <t>test.txt</t>
  </si>
  <si>
    <t>macro</t>
  </si>
  <si>
    <t>y</t>
  </si>
  <si>
    <t>x</t>
  </si>
  <si>
    <t>sum</t>
  </si>
</sst>
</file>

<file path=xl/styles.xml><?xml version="1.0" encoding="utf-8"?>
<styleSheet xmlns="http://schemas.openxmlformats.org/spreadsheetml/2006/main">
  <numFmts count="8">
    <numFmt numFmtId="43" formatCode="_(* #,##0.00_);_(* \(#,##0.00\);_(* &quot;-&quot;??_);_(@_)"/>
    <numFmt numFmtId="164" formatCode="0.0"/>
    <numFmt numFmtId="165" formatCode="0.0000"/>
    <numFmt numFmtId="166" formatCode="0.000"/>
    <numFmt numFmtId="167" formatCode="&quot;$&quot;#,##0"/>
    <numFmt numFmtId="168" formatCode="0.000000"/>
    <numFmt numFmtId="169" formatCode="&quot;$&quot;#,##0.00"/>
    <numFmt numFmtId="170" formatCode="0.00_);[Red]\(0.00\)"/>
  </numFmts>
  <fonts count="29"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1"/>
      <color indexed="8"/>
      <name val="Calibri"/>
      <family val="2"/>
    </font>
    <font>
      <sz val="10"/>
      <name val="Arial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sz val="9"/>
      <name val="Calibri"/>
      <family val="3"/>
      <charset val="129"/>
      <scheme val="minor"/>
    </font>
    <font>
      <sz val="9"/>
      <color rgb="FF000000"/>
      <name val="Calibri"/>
      <family val="2"/>
    </font>
    <font>
      <sz val="10"/>
      <color theme="1"/>
      <name val="Calibri"/>
      <family val="2"/>
    </font>
    <font>
      <b/>
      <sz val="10"/>
      <color rgb="FF000000"/>
      <name val="Calibri"/>
      <family val="2"/>
    </font>
    <font>
      <b/>
      <sz val="9"/>
      <color rgb="FF000000"/>
      <name val="Calibri"/>
      <family val="2"/>
    </font>
    <font>
      <sz val="9"/>
      <color rgb="FFFF0000"/>
      <name val="Calibri"/>
      <family val="2"/>
    </font>
    <font>
      <sz val="9"/>
      <color rgb="FF000000"/>
      <name val="Calibri"/>
      <family val="3"/>
      <charset val="129"/>
    </font>
    <font>
      <sz val="9"/>
      <color rgb="FF808080"/>
      <name val="Calibri"/>
      <family val="2"/>
    </font>
    <font>
      <sz val="9"/>
      <color rgb="FF4F6228"/>
      <name val="Calibri"/>
      <family val="2"/>
    </font>
    <font>
      <sz val="9"/>
      <color rgb="FF7F7F7F"/>
      <name val="Calibri"/>
      <family val="2"/>
    </font>
    <font>
      <sz val="9"/>
      <name val="Calibri"/>
      <family val="2"/>
    </font>
    <font>
      <sz val="9"/>
      <color rgb="FF7F7F7F"/>
      <name val="Calibri"/>
      <family val="3"/>
      <charset val="129"/>
    </font>
    <font>
      <b/>
      <sz val="9"/>
      <color rgb="FFC00000"/>
      <name val="Calibri"/>
      <family val="2"/>
    </font>
    <font>
      <sz val="9"/>
      <color theme="9" tint="-0.499984740745262"/>
      <name val="Calibri"/>
      <family val="2"/>
    </font>
    <font>
      <sz val="9"/>
      <name val="Calibri"/>
      <family val="3"/>
      <charset val="129"/>
    </font>
    <font>
      <sz val="10"/>
      <color theme="0" tint="-0.249977111117893"/>
      <name val="Calibri"/>
      <family val="2"/>
    </font>
    <font>
      <sz val="8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rgb="FF8DB4E3"/>
        <bgColor rgb="FF000000"/>
      </patternFill>
    </fill>
    <fill>
      <patternFill patternType="solid">
        <fgColor rgb="FF93CDDD"/>
        <bgColor rgb="FF000000"/>
      </patternFill>
    </fill>
  </fills>
  <borders count="19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tted">
        <color rgb="FF7F7F7F"/>
      </bottom>
      <diagonal/>
    </border>
    <border>
      <left/>
      <right/>
      <top/>
      <bottom style="dotted">
        <color rgb="FF7F7F7F"/>
      </bottom>
      <diagonal/>
    </border>
    <border>
      <left/>
      <right style="thin">
        <color indexed="64"/>
      </right>
      <top/>
      <bottom style="dotted">
        <color rgb="FF7F7F7F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0" fontId="9" fillId="0" borderId="0"/>
  </cellStyleXfs>
  <cellXfs count="140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2" fontId="4" fillId="0" borderId="0" xfId="0" applyNumberFormat="1" applyFont="1" applyAlignment="1">
      <alignment horizontal="left"/>
    </xf>
    <xf numFmtId="164" fontId="4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2" fontId="0" fillId="0" borderId="1" xfId="0" applyNumberFormat="1" applyBorder="1"/>
    <xf numFmtId="0" fontId="0" fillId="0" borderId="1" xfId="0" applyBorder="1"/>
    <xf numFmtId="0" fontId="2" fillId="0" borderId="1" xfId="0" applyFont="1" applyBorder="1"/>
    <xf numFmtId="0" fontId="1" fillId="0" borderId="0" xfId="0" applyFont="1"/>
    <xf numFmtId="0" fontId="0" fillId="0" borderId="0" xfId="0" applyAlignment="1">
      <alignment horizontal="right"/>
    </xf>
    <xf numFmtId="0" fontId="4" fillId="0" borderId="0" xfId="0" applyFont="1"/>
    <xf numFmtId="3" fontId="4" fillId="0" borderId="0" xfId="0" applyNumberFormat="1" applyFont="1"/>
    <xf numFmtId="2" fontId="4" fillId="0" borderId="0" xfId="0" applyNumberFormat="1" applyFont="1"/>
    <xf numFmtId="3" fontId="1" fillId="0" borderId="0" xfId="0" applyNumberFormat="1" applyFont="1"/>
    <xf numFmtId="0" fontId="2" fillId="0" borderId="0" xfId="0" applyFont="1"/>
    <xf numFmtId="165" fontId="4" fillId="0" borderId="0" xfId="0" applyNumberFormat="1" applyFont="1"/>
    <xf numFmtId="2" fontId="0" fillId="0" borderId="0" xfId="0" applyNumberFormat="1"/>
    <xf numFmtId="0" fontId="0" fillId="0" borderId="2" xfId="0" applyBorder="1"/>
    <xf numFmtId="3" fontId="0" fillId="0" borderId="0" xfId="0" applyNumberFormat="1"/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166" fontId="4" fillId="0" borderId="0" xfId="0" applyNumberFormat="1" applyFont="1"/>
    <xf numFmtId="0" fontId="0" fillId="0" borderId="0" xfId="0" quotePrefix="1" applyAlignment="1">
      <alignment horizontal="right"/>
    </xf>
    <xf numFmtId="2" fontId="0" fillId="0" borderId="3" xfId="0" applyNumberFormat="1" applyBorder="1"/>
    <xf numFmtId="0" fontId="0" fillId="0" borderId="3" xfId="0" applyBorder="1"/>
    <xf numFmtId="0" fontId="6" fillId="0" borderId="0" xfId="0" applyFont="1"/>
    <xf numFmtId="164" fontId="1" fillId="0" borderId="0" xfId="0" applyNumberFormat="1" applyFont="1"/>
    <xf numFmtId="164" fontId="4" fillId="0" borderId="0" xfId="0" applyNumberFormat="1" applyFont="1"/>
    <xf numFmtId="0" fontId="0" fillId="0" borderId="2" xfId="0" applyBorder="1" applyAlignment="1">
      <alignment horizontal="right"/>
    </xf>
    <xf numFmtId="0" fontId="0" fillId="0" borderId="4" xfId="0" applyBorder="1" applyAlignment="1">
      <alignment horizontal="right"/>
    </xf>
    <xf numFmtId="2" fontId="1" fillId="0" borderId="0" xfId="0" applyNumberFormat="1" applyFont="1"/>
    <xf numFmtId="2" fontId="4" fillId="0" borderId="0" xfId="0" quotePrefix="1" applyNumberFormat="1" applyFont="1" applyAlignment="1">
      <alignment horizontal="right"/>
    </xf>
    <xf numFmtId="0" fontId="0" fillId="0" borderId="4" xfId="0" applyFill="1" applyBorder="1" applyAlignment="1">
      <alignment horizontal="right"/>
    </xf>
    <xf numFmtId="0" fontId="0" fillId="0" borderId="0" xfId="0" applyFont="1" applyAlignment="1">
      <alignment horizontal="right"/>
    </xf>
    <xf numFmtId="0" fontId="7" fillId="0" borderId="2" xfId="0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3" fontId="4" fillId="0" borderId="0" xfId="0" applyNumberFormat="1" applyFont="1" applyFill="1"/>
    <xf numFmtId="0" fontId="0" fillId="0" borderId="0" xfId="0" applyFill="1"/>
    <xf numFmtId="0" fontId="2" fillId="0" borderId="0" xfId="0" applyFont="1" applyBorder="1"/>
    <xf numFmtId="0" fontId="9" fillId="0" borderId="0" xfId="2" applyFont="1"/>
    <xf numFmtId="0" fontId="10" fillId="0" borderId="0" xfId="2" applyFont="1" applyBorder="1" applyAlignment="1">
      <alignment horizontal="right"/>
    </xf>
    <xf numFmtId="0" fontId="11" fillId="0" borderId="0" xfId="2" applyNumberFormat="1" applyFont="1" applyBorder="1"/>
    <xf numFmtId="0" fontId="11" fillId="0" borderId="0" xfId="2" applyFont="1" applyBorder="1"/>
    <xf numFmtId="0" fontId="12" fillId="0" borderId="0" xfId="2" applyFont="1"/>
    <xf numFmtId="0" fontId="11" fillId="0" borderId="0" xfId="2" applyFont="1"/>
    <xf numFmtId="168" fontId="13" fillId="0" borderId="0" xfId="0" applyNumberFormat="1" applyFont="1" applyBorder="1"/>
    <xf numFmtId="169" fontId="11" fillId="0" borderId="0" xfId="2" applyNumberFormat="1" applyFont="1"/>
    <xf numFmtId="0" fontId="14" fillId="0" borderId="0" xfId="2" applyFont="1"/>
    <xf numFmtId="0" fontId="15" fillId="2" borderId="6" xfId="2" applyFont="1" applyFill="1" applyBorder="1"/>
    <xf numFmtId="0" fontId="16" fillId="2" borderId="7" xfId="2" applyFont="1" applyFill="1" applyBorder="1"/>
    <xf numFmtId="0" fontId="16" fillId="0" borderId="8" xfId="2" applyFont="1" applyFill="1" applyBorder="1"/>
    <xf numFmtId="0" fontId="16" fillId="0" borderId="0" xfId="2" applyFont="1" applyFill="1" applyBorder="1"/>
    <xf numFmtId="0" fontId="10" fillId="0" borderId="0" xfId="2" applyFont="1" applyFill="1" applyBorder="1"/>
    <xf numFmtId="0" fontId="15" fillId="0" borderId="0" xfId="2" applyFont="1" applyFill="1" applyBorder="1"/>
    <xf numFmtId="0" fontId="13" fillId="0" borderId="6" xfId="2" applyFont="1" applyBorder="1"/>
    <xf numFmtId="0" fontId="13" fillId="0" borderId="7" xfId="2" applyFont="1" applyBorder="1"/>
    <xf numFmtId="0" fontId="13" fillId="0" borderId="7" xfId="2" applyFont="1" applyBorder="1" applyAlignment="1">
      <alignment horizontal="left"/>
    </xf>
    <xf numFmtId="0" fontId="13" fillId="0" borderId="9" xfId="2" applyFont="1" applyBorder="1"/>
    <xf numFmtId="0" fontId="13" fillId="0" borderId="0" xfId="2" applyFont="1" applyBorder="1"/>
    <xf numFmtId="0" fontId="13" fillId="0" borderId="7" xfId="2" quotePrefix="1" applyFont="1" applyBorder="1" applyAlignment="1">
      <alignment horizontal="left"/>
    </xf>
    <xf numFmtId="0" fontId="13" fillId="3" borderId="6" xfId="2" applyFont="1" applyFill="1" applyBorder="1"/>
    <xf numFmtId="0" fontId="13" fillId="3" borderId="7" xfId="2" applyFont="1" applyFill="1" applyBorder="1"/>
    <xf numFmtId="0" fontId="13" fillId="3" borderId="7" xfId="2" applyFont="1" applyFill="1" applyBorder="1" applyAlignment="1">
      <alignment horizontal="right"/>
    </xf>
    <xf numFmtId="0" fontId="13" fillId="3" borderId="9" xfId="2" applyFont="1" applyFill="1" applyBorder="1"/>
    <xf numFmtId="0" fontId="13" fillId="0" borderId="0" xfId="2" applyFont="1" applyBorder="1" applyAlignment="1">
      <alignment horizontal="left"/>
    </xf>
    <xf numFmtId="0" fontId="17" fillId="0" borderId="0" xfId="2" applyFont="1" applyBorder="1"/>
    <xf numFmtId="0" fontId="13" fillId="3" borderId="7" xfId="2" applyFont="1" applyFill="1" applyBorder="1" applyAlignment="1">
      <alignment horizontal="left"/>
    </xf>
    <xf numFmtId="0" fontId="13" fillId="3" borderId="7" xfId="2" applyFont="1" applyFill="1" applyBorder="1" applyAlignment="1">
      <alignment horizontal="left" vertical="center"/>
    </xf>
    <xf numFmtId="0" fontId="17" fillId="3" borderId="7" xfId="2" applyFont="1" applyFill="1" applyBorder="1"/>
    <xf numFmtId="0" fontId="18" fillId="3" borderId="9" xfId="0" applyFont="1" applyFill="1" applyBorder="1"/>
    <xf numFmtId="0" fontId="13" fillId="0" borderId="8" xfId="2" applyFont="1" applyBorder="1"/>
    <xf numFmtId="167" fontId="13" fillId="0" borderId="0" xfId="2" applyNumberFormat="1" applyFont="1" applyBorder="1"/>
    <xf numFmtId="0" fontId="19" fillId="0" borderId="10" xfId="2" applyFont="1" applyBorder="1"/>
    <xf numFmtId="0" fontId="13" fillId="0" borderId="11" xfId="2" applyFont="1" applyBorder="1"/>
    <xf numFmtId="0" fontId="19" fillId="0" borderId="0" xfId="2" applyFont="1" applyBorder="1"/>
    <xf numFmtId="0" fontId="11" fillId="0" borderId="0" xfId="2" applyFont="1" applyAlignment="1">
      <alignment horizontal="right"/>
    </xf>
    <xf numFmtId="0" fontId="20" fillId="0" borderId="0" xfId="2" applyFont="1" applyBorder="1"/>
    <xf numFmtId="0" fontId="11" fillId="0" borderId="0" xfId="2" applyNumberFormat="1" applyFont="1"/>
    <xf numFmtId="0" fontId="13" fillId="0" borderId="12" xfId="2" applyFont="1" applyBorder="1"/>
    <xf numFmtId="0" fontId="13" fillId="0" borderId="5" xfId="2" applyFont="1" applyBorder="1"/>
    <xf numFmtId="167" fontId="13" fillId="0" borderId="5" xfId="2" applyNumberFormat="1" applyFont="1" applyBorder="1"/>
    <xf numFmtId="0" fontId="13" fillId="0" borderId="5" xfId="2" applyFont="1" applyBorder="1" applyAlignment="1">
      <alignment horizontal="left"/>
    </xf>
    <xf numFmtId="0" fontId="13" fillId="0" borderId="13" xfId="2" applyFont="1" applyBorder="1"/>
    <xf numFmtId="0" fontId="12" fillId="0" borderId="0" xfId="2" applyNumberFormat="1" applyFont="1"/>
    <xf numFmtId="167" fontId="13" fillId="0" borderId="7" xfId="2" applyNumberFormat="1" applyFont="1" applyBorder="1"/>
    <xf numFmtId="167" fontId="13" fillId="3" borderId="7" xfId="2" applyNumberFormat="1" applyFont="1" applyFill="1" applyBorder="1"/>
    <xf numFmtId="0" fontId="19" fillId="0" borderId="14" xfId="2" applyFont="1" applyBorder="1"/>
    <xf numFmtId="0" fontId="19" fillId="0" borderId="10" xfId="2" applyFont="1" applyFill="1" applyBorder="1"/>
    <xf numFmtId="167" fontId="19" fillId="0" borderId="10" xfId="2" applyNumberFormat="1" applyFont="1" applyFill="1" applyBorder="1" applyAlignment="1">
      <alignment horizontal="right"/>
    </xf>
    <xf numFmtId="0" fontId="19" fillId="0" borderId="10" xfId="2" applyFont="1" applyFill="1" applyBorder="1" applyAlignment="1">
      <alignment horizontal="left"/>
    </xf>
    <xf numFmtId="167" fontId="19" fillId="0" borderId="10" xfId="2" applyNumberFormat="1" applyFont="1" applyFill="1" applyBorder="1"/>
    <xf numFmtId="0" fontId="19" fillId="0" borderId="15" xfId="2" applyFont="1" applyFill="1" applyBorder="1"/>
    <xf numFmtId="0" fontId="19" fillId="0" borderId="5" xfId="2" applyFont="1" applyBorder="1"/>
    <xf numFmtId="167" fontId="19" fillId="0" borderId="10" xfId="2" applyNumberFormat="1" applyFont="1" applyBorder="1"/>
    <xf numFmtId="0" fontId="19" fillId="0" borderId="10" xfId="2" applyFont="1" applyBorder="1" applyAlignment="1">
      <alignment horizontal="left"/>
    </xf>
    <xf numFmtId="0" fontId="19" fillId="0" borderId="15" xfId="2" applyFont="1" applyBorder="1"/>
    <xf numFmtId="0" fontId="19" fillId="0" borderId="8" xfId="2" applyFont="1" applyBorder="1"/>
    <xf numFmtId="167" fontId="19" fillId="0" borderId="0" xfId="2" applyNumberFormat="1" applyFont="1" applyBorder="1"/>
    <xf numFmtId="0" fontId="19" fillId="0" borderId="0" xfId="2" applyFont="1" applyBorder="1" applyAlignment="1">
      <alignment horizontal="left"/>
    </xf>
    <xf numFmtId="0" fontId="19" fillId="0" borderId="11" xfId="2" applyFont="1" applyBorder="1"/>
    <xf numFmtId="0" fontId="19" fillId="0" borderId="16" xfId="2" applyFont="1" applyBorder="1"/>
    <xf numFmtId="0" fontId="19" fillId="0" borderId="17" xfId="2" applyFont="1" applyBorder="1"/>
    <xf numFmtId="167" fontId="19" fillId="0" borderId="17" xfId="2" applyNumberFormat="1" applyFont="1" applyBorder="1"/>
    <xf numFmtId="0" fontId="19" fillId="0" borderId="17" xfId="2" applyFont="1" applyBorder="1" applyAlignment="1">
      <alignment horizontal="left"/>
    </xf>
    <xf numFmtId="0" fontId="19" fillId="0" borderId="18" xfId="2" applyFont="1" applyBorder="1"/>
    <xf numFmtId="0" fontId="13" fillId="0" borderId="14" xfId="2" applyFont="1" applyBorder="1"/>
    <xf numFmtId="0" fontId="13" fillId="0" borderId="10" xfId="2" applyFont="1" applyBorder="1"/>
    <xf numFmtId="0" fontId="13" fillId="0" borderId="10" xfId="2" applyFont="1" applyBorder="1" applyAlignment="1">
      <alignment horizontal="left"/>
    </xf>
    <xf numFmtId="0" fontId="13" fillId="0" borderId="15" xfId="2" applyFont="1" applyBorder="1"/>
    <xf numFmtId="2" fontId="13" fillId="0" borderId="0" xfId="2" applyNumberFormat="1" applyFont="1" applyBorder="1"/>
    <xf numFmtId="2" fontId="19" fillId="0" borderId="0" xfId="2" applyNumberFormat="1" applyFont="1" applyBorder="1"/>
    <xf numFmtId="0" fontId="21" fillId="0" borderId="0" xfId="2" applyFont="1" applyBorder="1"/>
    <xf numFmtId="2" fontId="22" fillId="0" borderId="0" xfId="2" applyNumberFormat="1" applyFont="1" applyBorder="1"/>
    <xf numFmtId="0" fontId="23" fillId="0" borderId="0" xfId="0" applyFont="1" applyBorder="1"/>
    <xf numFmtId="2" fontId="22" fillId="0" borderId="0" xfId="2" applyNumberFormat="1" applyFont="1" applyBorder="1" applyAlignment="1">
      <alignment horizontal="right"/>
    </xf>
    <xf numFmtId="0" fontId="19" fillId="0" borderId="12" xfId="2" applyFont="1" applyBorder="1"/>
    <xf numFmtId="2" fontId="19" fillId="0" borderId="5" xfId="2" applyNumberFormat="1" applyFont="1" applyBorder="1"/>
    <xf numFmtId="0" fontId="19" fillId="0" borderId="5" xfId="2" applyFont="1" applyBorder="1" applyAlignment="1">
      <alignment horizontal="left"/>
    </xf>
    <xf numFmtId="0" fontId="19" fillId="0" borderId="13" xfId="2" applyFont="1" applyBorder="1"/>
    <xf numFmtId="0" fontId="22" fillId="0" borderId="8" xfId="2" applyFont="1" applyBorder="1"/>
    <xf numFmtId="0" fontId="22" fillId="0" borderId="0" xfId="2" applyFont="1" applyBorder="1"/>
    <xf numFmtId="39" fontId="22" fillId="0" borderId="0" xfId="1" applyNumberFormat="1" applyFont="1" applyBorder="1"/>
    <xf numFmtId="0" fontId="22" fillId="0" borderId="0" xfId="2" applyFont="1" applyBorder="1" applyAlignment="1">
      <alignment horizontal="left"/>
    </xf>
    <xf numFmtId="0" fontId="22" fillId="0" borderId="11" xfId="2" applyFont="1" applyBorder="1"/>
    <xf numFmtId="170" fontId="13" fillId="0" borderId="10" xfId="1" applyNumberFormat="1" applyFont="1" applyBorder="1"/>
    <xf numFmtId="0" fontId="13" fillId="0" borderId="10" xfId="2" applyNumberFormat="1" applyFont="1" applyBorder="1"/>
    <xf numFmtId="43" fontId="13" fillId="0" borderId="0" xfId="1" applyFont="1" applyBorder="1"/>
    <xf numFmtId="0" fontId="22" fillId="0" borderId="0" xfId="2" applyNumberFormat="1" applyFont="1" applyBorder="1"/>
    <xf numFmtId="170" fontId="24" fillId="0" borderId="5" xfId="2" applyNumberFormat="1" applyFont="1" applyBorder="1"/>
    <xf numFmtId="0" fontId="22" fillId="0" borderId="0" xfId="0" applyFont="1" applyBorder="1"/>
    <xf numFmtId="0" fontId="25" fillId="0" borderId="0" xfId="2" applyFont="1"/>
    <xf numFmtId="0" fontId="26" fillId="0" borderId="0" xfId="0" applyFont="1" applyBorder="1"/>
    <xf numFmtId="0" fontId="13" fillId="0" borderId="0" xfId="0" applyFont="1" applyBorder="1"/>
    <xf numFmtId="3" fontId="13" fillId="0" borderId="0" xfId="2" applyNumberFormat="1" applyFont="1" applyBorder="1"/>
    <xf numFmtId="0" fontId="27" fillId="0" borderId="0" xfId="2" applyFont="1"/>
    <xf numFmtId="165" fontId="13" fillId="0" borderId="7" xfId="2" applyNumberFormat="1" applyFont="1" applyBorder="1"/>
    <xf numFmtId="166" fontId="13" fillId="0" borderId="0" xfId="0" applyNumberFormat="1" applyFont="1" applyBorder="1"/>
    <xf numFmtId="170" fontId="13" fillId="0" borderId="0" xfId="1" applyNumberFormat="1" applyFont="1" applyBorder="1"/>
    <xf numFmtId="0" fontId="13" fillId="0" borderId="0" xfId="2" applyNumberFormat="1" applyFont="1" applyBorder="1"/>
  </cellXfs>
  <cellStyles count="3">
    <cellStyle name="Comma" xfId="1" builtinId="3"/>
    <cellStyle name="Normal" xfId="0" builtinId="0"/>
    <cellStyle name="Normal 2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666750</xdr:colOff>
      <xdr:row>3</xdr:row>
      <xdr:rowOff>0</xdr:rowOff>
    </xdr:to>
    <xdr:sp macro="[0]!setup" textlink="">
      <xdr:nvSpPr>
        <xdr:cNvPr id="2" name="Rounded Rectangle 1"/>
        <xdr:cNvSpPr/>
      </xdr:nvSpPr>
      <xdr:spPr>
        <a:xfrm>
          <a:off x="41910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Simulation</a:t>
          </a:r>
          <a:endParaRPr lang="en-US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666750</xdr:colOff>
      <xdr:row>6</xdr:row>
      <xdr:rowOff>0</xdr:rowOff>
    </xdr:to>
    <xdr:sp macro="[0]!closeSim" textlink="">
      <xdr:nvSpPr>
        <xdr:cNvPr id="3" name="Rounded Rectangle 2"/>
        <xdr:cNvSpPr/>
      </xdr:nvSpPr>
      <xdr:spPr>
        <a:xfrm>
          <a:off x="4191000" y="7620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Simulation</a:t>
          </a:r>
          <a:endParaRPr lang="en-US" sz="1100"/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666750</xdr:colOff>
      <xdr:row>3</xdr:row>
      <xdr:rowOff>0</xdr:rowOff>
    </xdr:to>
    <xdr:sp macro="[0]!runSim" textlink="">
      <xdr:nvSpPr>
        <xdr:cNvPr id="4" name="Rounded Rectangle 3"/>
        <xdr:cNvSpPr/>
      </xdr:nvSpPr>
      <xdr:spPr>
        <a:xfrm>
          <a:off x="62865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Run Simulation</a:t>
          </a:r>
          <a:endParaRPr lang="en-US" sz="1100"/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666750</xdr:colOff>
      <xdr:row>6</xdr:row>
      <xdr:rowOff>0</xdr:rowOff>
    </xdr:to>
    <xdr:sp macro="[0]!reopenSim" textlink="">
      <xdr:nvSpPr>
        <xdr:cNvPr id="5" name="Rounded Rectangle 4"/>
        <xdr:cNvSpPr/>
      </xdr:nvSpPr>
      <xdr:spPr>
        <a:xfrm>
          <a:off x="6286500" y="7620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Reopen Simulation</a:t>
          </a:r>
          <a:endParaRPr lang="en-US" sz="11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666750</xdr:colOff>
      <xdr:row>3</xdr:row>
      <xdr:rowOff>0</xdr:rowOff>
    </xdr:to>
    <xdr:sp macro="" textlink="">
      <xdr:nvSpPr>
        <xdr:cNvPr id="6" name="Rounded Rectangle 5"/>
        <xdr:cNvSpPr/>
      </xdr:nvSpPr>
      <xdr:spPr>
        <a:xfrm>
          <a:off x="83820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Load Defaults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</xdr:row>
      <xdr:rowOff>0</xdr:rowOff>
    </xdr:from>
    <xdr:to>
      <xdr:col>1</xdr:col>
      <xdr:colOff>885825</xdr:colOff>
      <xdr:row>3</xdr:row>
      <xdr:rowOff>0</xdr:rowOff>
    </xdr:to>
    <xdr:sp macro="[0]!autoLayoutButton" textlink="">
      <xdr:nvSpPr>
        <xdr:cNvPr id="4" name="Rounded Rectangle 3"/>
        <xdr:cNvSpPr/>
      </xdr:nvSpPr>
      <xdr:spPr>
        <a:xfrm>
          <a:off x="219075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Auto Layout</a:t>
          </a:r>
        </a:p>
      </xdr:txBody>
    </xdr:sp>
    <xdr:clientData/>
  </xdr:twoCellAnchor>
  <xdr:twoCellAnchor>
    <xdr:from>
      <xdr:col>0</xdr:col>
      <xdr:colOff>219075</xdr:colOff>
      <xdr:row>4</xdr:row>
      <xdr:rowOff>9525</xdr:rowOff>
    </xdr:from>
    <xdr:to>
      <xdr:col>1</xdr:col>
      <xdr:colOff>885825</xdr:colOff>
      <xdr:row>6</xdr:row>
      <xdr:rowOff>9525</xdr:rowOff>
    </xdr:to>
    <xdr:sp macro="[0]!drawInterfaceButon" textlink="">
      <xdr:nvSpPr>
        <xdr:cNvPr id="5" name="Rounded Rectangle 4"/>
        <xdr:cNvSpPr/>
      </xdr:nvSpPr>
      <xdr:spPr>
        <a:xfrm>
          <a:off x="219075" y="771525"/>
          <a:ext cx="1714500" cy="3810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Draw Interface 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L12"/>
  <sheetViews>
    <sheetView tabSelected="1" workbookViewId="0">
      <selection activeCell="E15" sqref="E15"/>
    </sheetView>
  </sheetViews>
  <sheetFormatPr defaultRowHeight="15"/>
  <cols>
    <col min="1" max="26" width="15.7109375" customWidth="1"/>
  </cols>
  <sheetData>
    <row r="2" spans="1:12">
      <c r="B2" s="2" t="s">
        <v>0</v>
      </c>
      <c r="C2" s="1" t="s">
        <v>338</v>
      </c>
      <c r="K2" s="15" t="s">
        <v>33</v>
      </c>
    </row>
    <row r="3" spans="1:12">
      <c r="B3" s="2" t="s">
        <v>1</v>
      </c>
      <c r="C3" s="1">
        <v>1</v>
      </c>
      <c r="K3" s="10" t="s">
        <v>35</v>
      </c>
      <c r="L3">
        <v>1</v>
      </c>
    </row>
    <row r="4" spans="1:12">
      <c r="B4" s="2" t="s">
        <v>2</v>
      </c>
      <c r="C4" s="3">
        <v>41038.536898148152</v>
      </c>
      <c r="K4" s="10" t="s">
        <v>34</v>
      </c>
      <c r="L4">
        <v>0</v>
      </c>
    </row>
    <row r="5" spans="1:12">
      <c r="B5" s="2" t="s">
        <v>3</v>
      </c>
      <c r="C5" s="3">
        <v>41038.538680555554</v>
      </c>
    </row>
    <row r="6" spans="1:12">
      <c r="B6" s="2" t="s">
        <v>4</v>
      </c>
      <c r="C6" s="4">
        <f>IF(ISNUMBER(C5), (C5-C4)*24*60*60, "?")</f>
        <v>153.999999538064</v>
      </c>
    </row>
    <row r="7" spans="1:12">
      <c r="B7" s="2" t="s">
        <v>75</v>
      </c>
      <c r="C7" s="21">
        <v>0</v>
      </c>
    </row>
    <row r="8" spans="1:12" ht="15.75" thickBot="1">
      <c r="A8" s="6" t="s">
        <v>10</v>
      </c>
      <c r="B8" s="6"/>
      <c r="C8" s="6"/>
      <c r="D8" s="6"/>
      <c r="E8" s="6"/>
      <c r="F8" s="6"/>
      <c r="G8" s="6"/>
      <c r="H8" s="6"/>
      <c r="I8" s="6"/>
      <c r="J8" s="7"/>
    </row>
    <row r="9" spans="1:12" ht="15.75" thickTop="1"/>
    <row r="10" spans="1:12">
      <c r="B10" s="10" t="s">
        <v>339</v>
      </c>
      <c r="C10" s="9"/>
      <c r="F10" s="10" t="s">
        <v>342</v>
      </c>
      <c r="G10" s="11">
        <v>7</v>
      </c>
    </row>
    <row r="11" spans="1:12">
      <c r="B11" s="10" t="s">
        <v>340</v>
      </c>
      <c r="C11" s="9">
        <v>3</v>
      </c>
    </row>
    <row r="12" spans="1:12">
      <c r="B12" s="10" t="s">
        <v>341</v>
      </c>
      <c r="C12" s="9">
        <v>4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L13"/>
  <sheetViews>
    <sheetView zoomScaleNormal="100" workbookViewId="0">
      <selection activeCell="B10" sqref="B10:B910"/>
    </sheetView>
  </sheetViews>
  <sheetFormatPr defaultRowHeight="15"/>
  <cols>
    <col min="1" max="1" width="15.7109375" customWidth="1"/>
    <col min="2" max="2" width="40.7109375" customWidth="1"/>
    <col min="3" max="7" width="15.7109375" customWidth="1"/>
    <col min="8" max="8" width="30.7109375" customWidth="1"/>
    <col min="9" max="14" width="15.7109375" customWidth="1"/>
  </cols>
  <sheetData>
    <row r="2" spans="1:12">
      <c r="C2" t="s">
        <v>8</v>
      </c>
    </row>
    <row r="3" spans="1:12">
      <c r="C3" t="s">
        <v>6</v>
      </c>
    </row>
    <row r="4" spans="1:12">
      <c r="C4" t="s">
        <v>5</v>
      </c>
    </row>
    <row r="5" spans="1:12">
      <c r="C5" t="s">
        <v>7</v>
      </c>
    </row>
    <row r="6" spans="1:12">
      <c r="C6" t="s">
        <v>9</v>
      </c>
    </row>
    <row r="8" spans="1:12"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 ht="15.75" thickBot="1">
      <c r="A9" s="8" t="s">
        <v>11</v>
      </c>
      <c r="B9" s="8" t="s">
        <v>12</v>
      </c>
      <c r="C9" s="8" t="s">
        <v>13</v>
      </c>
      <c r="D9" s="8" t="s">
        <v>14</v>
      </c>
      <c r="E9" s="8" t="s">
        <v>15</v>
      </c>
      <c r="F9" s="8" t="s">
        <v>16</v>
      </c>
      <c r="G9" s="8" t="s">
        <v>17</v>
      </c>
      <c r="H9" s="8" t="s">
        <v>22</v>
      </c>
      <c r="I9" s="8" t="s">
        <v>18</v>
      </c>
      <c r="J9" s="8" t="s">
        <v>19</v>
      </c>
      <c r="K9" s="8" t="s">
        <v>20</v>
      </c>
      <c r="L9" s="8" t="s">
        <v>21</v>
      </c>
    </row>
    <row r="10" spans="1:12" ht="15.75" thickTop="1">
      <c r="A10">
        <v>1</v>
      </c>
      <c r="B10" t="s">
        <v>339</v>
      </c>
      <c r="C10" t="s">
        <v>25</v>
      </c>
      <c r="D10" t="s">
        <v>23</v>
      </c>
      <c r="E10" t="s">
        <v>24</v>
      </c>
      <c r="F10" t="s">
        <v>26</v>
      </c>
      <c r="G10" t="b">
        <v>1</v>
      </c>
    </row>
    <row r="11" spans="1:12">
      <c r="A11">
        <v>2</v>
      </c>
      <c r="B11" t="s">
        <v>340</v>
      </c>
      <c r="C11" t="s">
        <v>25</v>
      </c>
      <c r="D11" t="s">
        <v>23</v>
      </c>
      <c r="E11" t="s">
        <v>24</v>
      </c>
      <c r="F11" t="s">
        <v>27</v>
      </c>
      <c r="G11" t="b">
        <v>1</v>
      </c>
    </row>
    <row r="12" spans="1:12">
      <c r="A12">
        <v>3</v>
      </c>
      <c r="B12" t="s">
        <v>341</v>
      </c>
      <c r="C12" t="s">
        <v>25</v>
      </c>
      <c r="D12" t="s">
        <v>23</v>
      </c>
      <c r="E12" t="s">
        <v>24</v>
      </c>
      <c r="F12" t="s">
        <v>28</v>
      </c>
      <c r="G12" t="b">
        <v>1</v>
      </c>
    </row>
    <row r="13" spans="1:12">
      <c r="A13">
        <v>4</v>
      </c>
      <c r="B13" t="s">
        <v>342</v>
      </c>
      <c r="C13" t="s">
        <v>29</v>
      </c>
      <c r="D13" t="s">
        <v>23</v>
      </c>
      <c r="E13" t="s">
        <v>24</v>
      </c>
      <c r="F13" t="s">
        <v>30</v>
      </c>
      <c r="G13" t="b">
        <v>1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J137"/>
  <sheetViews>
    <sheetView workbookViewId="0">
      <selection activeCell="H42" sqref="H42"/>
    </sheetView>
  </sheetViews>
  <sheetFormatPr defaultRowHeight="15"/>
  <cols>
    <col min="1" max="16" width="15.7109375" customWidth="1"/>
  </cols>
  <sheetData>
    <row r="1" spans="1:10" ht="21">
      <c r="A1" s="26" t="s">
        <v>120</v>
      </c>
      <c r="E1" s="25"/>
      <c r="F1" s="26" t="s">
        <v>85</v>
      </c>
    </row>
    <row r="2" spans="1:10">
      <c r="E2" s="25"/>
    </row>
    <row r="3" spans="1:10">
      <c r="B3" s="10" t="s">
        <v>121</v>
      </c>
      <c r="C3" s="27">
        <v>91.4</v>
      </c>
      <c r="D3" t="s">
        <v>123</v>
      </c>
      <c r="E3" s="25"/>
      <c r="F3" s="15" t="s">
        <v>336</v>
      </c>
    </row>
    <row r="4" spans="1:10">
      <c r="B4" s="10" t="s">
        <v>122</v>
      </c>
      <c r="C4" s="27">
        <v>113</v>
      </c>
      <c r="D4" t="s">
        <v>123</v>
      </c>
      <c r="E4" s="25"/>
      <c r="F4" s="15"/>
    </row>
    <row r="5" spans="1:10">
      <c r="B5" s="10" t="s">
        <v>124</v>
      </c>
      <c r="C5" s="9">
        <v>8.9999999999999998E-4</v>
      </c>
      <c r="D5" t="s">
        <v>125</v>
      </c>
      <c r="E5" s="25"/>
      <c r="F5" s="15"/>
      <c r="G5" s="10" t="s">
        <v>132</v>
      </c>
      <c r="H5" s="28">
        <f>C3+C10</f>
        <v>101.4</v>
      </c>
      <c r="I5" t="s">
        <v>123</v>
      </c>
    </row>
    <row r="6" spans="1:10">
      <c r="B6" s="10" t="s">
        <v>127</v>
      </c>
      <c r="C6" s="14">
        <v>19000</v>
      </c>
      <c r="D6" t="s">
        <v>31</v>
      </c>
      <c r="E6" s="25"/>
      <c r="F6" s="15"/>
    </row>
    <row r="7" spans="1:10">
      <c r="B7" s="10" t="s">
        <v>126</v>
      </c>
      <c r="C7" s="14">
        <v>1000</v>
      </c>
      <c r="D7" t="s">
        <v>31</v>
      </c>
      <c r="E7" s="25"/>
      <c r="F7" s="13" t="e">
        <f>C96-248</f>
        <v>#REF!</v>
      </c>
      <c r="G7" s="15" t="s">
        <v>36</v>
      </c>
    </row>
    <row r="8" spans="1:10">
      <c r="B8" s="10" t="s">
        <v>129</v>
      </c>
      <c r="C8" s="9">
        <v>259.25</v>
      </c>
      <c r="D8" t="s">
        <v>123</v>
      </c>
      <c r="E8" s="25"/>
      <c r="F8" s="13" t="e">
        <f>C102-C101</f>
        <v>#REF!</v>
      </c>
      <c r="G8" s="15" t="s">
        <v>37</v>
      </c>
    </row>
    <row r="9" spans="1:10">
      <c r="B9" s="10"/>
      <c r="C9" s="9"/>
      <c r="E9" s="25"/>
      <c r="F9" s="13" t="e">
        <f>C94-C91</f>
        <v>#REF!</v>
      </c>
      <c r="G9" s="15" t="s">
        <v>38</v>
      </c>
    </row>
    <row r="10" spans="1:10">
      <c r="B10" s="10" t="s">
        <v>131</v>
      </c>
      <c r="C10" s="9">
        <v>10</v>
      </c>
      <c r="D10" t="s">
        <v>123</v>
      </c>
      <c r="E10" s="25"/>
      <c r="F10" s="13" t="e">
        <f>C93-C92</f>
        <v>#REF!</v>
      </c>
      <c r="G10" s="15" t="s">
        <v>39</v>
      </c>
    </row>
    <row r="11" spans="1:10">
      <c r="B11" s="10" t="s">
        <v>331</v>
      </c>
      <c r="C11" s="9">
        <v>2249.89</v>
      </c>
      <c r="D11" t="s">
        <v>333</v>
      </c>
      <c r="E11" s="25"/>
      <c r="F11" s="13" t="e">
        <f>H5-C84</f>
        <v>#REF!</v>
      </c>
      <c r="G11" s="15" t="s">
        <v>45</v>
      </c>
    </row>
    <row r="12" spans="1:10">
      <c r="B12" s="10"/>
      <c r="C12" s="9"/>
      <c r="E12" s="25"/>
      <c r="F12" s="13"/>
      <c r="G12" s="15"/>
    </row>
    <row r="13" spans="1:10">
      <c r="B13" s="10" t="s">
        <v>332</v>
      </c>
      <c r="C13" s="9">
        <v>433.68</v>
      </c>
      <c r="D13" t="s">
        <v>333</v>
      </c>
      <c r="E13" s="25"/>
      <c r="F13" s="13" t="e">
        <f>IF(C101-5&gt;C4,C4,C101-5)</f>
        <v>#REF!</v>
      </c>
      <c r="G13" s="15" t="s">
        <v>335</v>
      </c>
    </row>
    <row r="14" spans="1:10">
      <c r="B14" s="10"/>
      <c r="C14" s="9"/>
      <c r="E14" s="25"/>
      <c r="F14" s="17"/>
      <c r="G14" s="15"/>
      <c r="I14" s="2"/>
      <c r="J14" s="20"/>
    </row>
    <row r="15" spans="1:10">
      <c r="E15" s="25"/>
      <c r="F15" s="15" t="s">
        <v>46</v>
      </c>
    </row>
    <row r="16" spans="1:10" ht="21">
      <c r="A16" s="26" t="s">
        <v>86</v>
      </c>
      <c r="E16" s="25"/>
    </row>
    <row r="17" spans="1:9">
      <c r="E17" s="24"/>
      <c r="G17" s="10" t="s">
        <v>52</v>
      </c>
      <c r="H17" s="12" t="e">
        <f>C22*C23*7</f>
        <v>#REF!</v>
      </c>
      <c r="I17" t="s">
        <v>31</v>
      </c>
    </row>
    <row r="18" spans="1:9">
      <c r="A18" t="s">
        <v>93</v>
      </c>
      <c r="E18" s="24"/>
      <c r="G18" s="10" t="s">
        <v>53</v>
      </c>
      <c r="H18" s="12" t="e">
        <f>C24*C25*7</f>
        <v>#REF!</v>
      </c>
      <c r="I18" t="s">
        <v>31</v>
      </c>
    </row>
    <row r="19" spans="1:9">
      <c r="E19" s="24"/>
      <c r="G19" s="10" t="s">
        <v>54</v>
      </c>
      <c r="H19" s="12" t="e">
        <f>H17-H18</f>
        <v>#REF!</v>
      </c>
      <c r="I19" t="s">
        <v>31</v>
      </c>
    </row>
    <row r="20" spans="1:9">
      <c r="A20" s="15" t="s">
        <v>92</v>
      </c>
      <c r="E20" s="24"/>
      <c r="G20" s="10" t="s">
        <v>42</v>
      </c>
      <c r="H20" s="13" t="e">
        <f>1- H18/H17</f>
        <v>#REF!</v>
      </c>
    </row>
    <row r="21" spans="1:9">
      <c r="C21" s="11"/>
      <c r="E21" s="24"/>
      <c r="H21" s="11"/>
    </row>
    <row r="22" spans="1:9">
      <c r="B22" s="10" t="s">
        <v>87</v>
      </c>
      <c r="C22" s="12" t="e">
        <f>Interface!#REF!</f>
        <v>#REF!</v>
      </c>
      <c r="D22" t="s">
        <v>31</v>
      </c>
      <c r="E22" s="24"/>
      <c r="G22" s="10" t="s">
        <v>41</v>
      </c>
      <c r="H22" s="12" t="e">
        <f>C30*7/H19</f>
        <v>#REF!</v>
      </c>
      <c r="I22" t="s">
        <v>44</v>
      </c>
    </row>
    <row r="23" spans="1:9">
      <c r="B23" s="10" t="s">
        <v>88</v>
      </c>
      <c r="C23" s="16" t="e">
        <f>Interface!#REF!</f>
        <v>#REF!</v>
      </c>
      <c r="D23" t="s">
        <v>91</v>
      </c>
      <c r="E23" s="24"/>
      <c r="G23" s="10" t="s">
        <v>41</v>
      </c>
      <c r="H23" s="12" t="e">
        <f>H22*1.0548/0.45359237</f>
        <v>#REF!</v>
      </c>
      <c r="I23" t="s">
        <v>151</v>
      </c>
    </row>
    <row r="24" spans="1:9">
      <c r="B24" s="10" t="s">
        <v>89</v>
      </c>
      <c r="C24" s="12" t="e">
        <f>Interface!#REF!</f>
        <v>#REF!</v>
      </c>
      <c r="D24" t="s">
        <v>31</v>
      </c>
      <c r="E24" s="24"/>
    </row>
    <row r="25" spans="1:9">
      <c r="B25" s="10" t="s">
        <v>90</v>
      </c>
      <c r="C25" s="16" t="e">
        <f>Interface!#REF!</f>
        <v>#REF!</v>
      </c>
      <c r="D25" t="s">
        <v>91</v>
      </c>
      <c r="E25" s="24"/>
      <c r="F25" s="15" t="s">
        <v>47</v>
      </c>
    </row>
    <row r="26" spans="1:9">
      <c r="C26" s="11"/>
      <c r="E26" s="24"/>
    </row>
    <row r="27" spans="1:9">
      <c r="A27" s="15" t="s">
        <v>94</v>
      </c>
      <c r="C27" s="11"/>
      <c r="E27" s="24"/>
      <c r="G27" s="10" t="s">
        <v>43</v>
      </c>
      <c r="H27" s="13" t="e">
        <f>C29*7/60/60</f>
        <v>#REF!</v>
      </c>
      <c r="I27" t="s">
        <v>40</v>
      </c>
    </row>
    <row r="28" spans="1:9">
      <c r="C28" s="11"/>
      <c r="E28" s="24"/>
      <c r="G28" s="10" t="s">
        <v>58</v>
      </c>
      <c r="H28" s="13" t="e">
        <f>(-0.00066238*H27^3+0.5271*H27^2-381.2*H27+650300)/1000</f>
        <v>#REF!</v>
      </c>
      <c r="I28" t="s">
        <v>49</v>
      </c>
    </row>
    <row r="29" spans="1:9">
      <c r="B29" s="10" t="s">
        <v>116</v>
      </c>
      <c r="C29" s="12" t="e">
        <f>Interface!#REF!</f>
        <v>#REF!</v>
      </c>
      <c r="D29" t="s">
        <v>31</v>
      </c>
      <c r="E29" s="24"/>
      <c r="G29" s="10" t="s">
        <v>48</v>
      </c>
      <c r="H29" s="13" t="e">
        <f>0.00021381*H27^2-0.8434*H27+679</f>
        <v>#REF!</v>
      </c>
      <c r="I29" t="s">
        <v>40</v>
      </c>
    </row>
    <row r="30" spans="1:9">
      <c r="B30" s="10" t="s">
        <v>115</v>
      </c>
      <c r="C30" s="12" t="e">
        <f>Interface!#REF!</f>
        <v>#REF!</v>
      </c>
      <c r="D30" t="s">
        <v>32</v>
      </c>
      <c r="E30" s="24"/>
      <c r="G30" s="10" t="s">
        <v>48</v>
      </c>
      <c r="H30" s="12" t="e">
        <f>H29*60*60</f>
        <v>#REF!</v>
      </c>
      <c r="I30" t="s">
        <v>31</v>
      </c>
    </row>
    <row r="31" spans="1:9">
      <c r="C31" s="11"/>
      <c r="E31" s="24"/>
      <c r="G31" s="10" t="s">
        <v>61</v>
      </c>
      <c r="H31" s="11">
        <v>679</v>
      </c>
      <c r="I31" t="s">
        <v>40</v>
      </c>
    </row>
    <row r="32" spans="1:9">
      <c r="A32" s="15" t="s">
        <v>95</v>
      </c>
      <c r="C32" s="11"/>
      <c r="E32" s="24"/>
      <c r="G32" s="10" t="s">
        <v>61</v>
      </c>
      <c r="H32" s="12">
        <f>H31*60*60</f>
        <v>2444400</v>
      </c>
      <c r="I32" t="s">
        <v>31</v>
      </c>
    </row>
    <row r="33" spans="1:9">
      <c r="B33" s="10"/>
      <c r="C33" s="11"/>
      <c r="E33" s="24"/>
    </row>
    <row r="34" spans="1:9">
      <c r="B34" s="10" t="s">
        <v>98</v>
      </c>
      <c r="C34" s="12" t="e">
        <f>Interface!#REF!</f>
        <v>#REF!</v>
      </c>
      <c r="D34" t="s">
        <v>32</v>
      </c>
      <c r="E34" s="24"/>
      <c r="F34" s="15" t="s">
        <v>50</v>
      </c>
    </row>
    <row r="35" spans="1:9">
      <c r="B35" s="10" t="s">
        <v>97</v>
      </c>
      <c r="C35" s="12" t="e">
        <f>Interface!#REF!</f>
        <v>#REF!</v>
      </c>
      <c r="D35" t="s">
        <v>32</v>
      </c>
      <c r="E35" s="24"/>
    </row>
    <row r="36" spans="1:9">
      <c r="B36" s="10" t="s">
        <v>99</v>
      </c>
      <c r="C36" s="12" t="e">
        <f>Interface!#REF!</f>
        <v>#REF!</v>
      </c>
      <c r="D36" t="s">
        <v>32</v>
      </c>
      <c r="E36" s="24"/>
      <c r="G36" s="10" t="s">
        <v>51</v>
      </c>
      <c r="H36" s="22" t="e">
        <f>C53*2*0.7457/1000</f>
        <v>#REF!</v>
      </c>
      <c r="I36" t="s">
        <v>49</v>
      </c>
    </row>
    <row r="37" spans="1:9">
      <c r="B37" s="10" t="s">
        <v>100</v>
      </c>
      <c r="C37" s="12" t="e">
        <f>Interface!#REF!</f>
        <v>#REF!</v>
      </c>
      <c r="D37" t="s">
        <v>32</v>
      </c>
      <c r="E37" s="24"/>
      <c r="G37" s="10" t="s">
        <v>55</v>
      </c>
      <c r="H37" s="22" t="e">
        <f>C54*7*0.7457/1000</f>
        <v>#REF!</v>
      </c>
      <c r="I37" t="s">
        <v>49</v>
      </c>
    </row>
    <row r="38" spans="1:9">
      <c r="B38" s="10" t="s">
        <v>101</v>
      </c>
      <c r="C38" s="12" t="e">
        <f>Interface!#REF!</f>
        <v>#REF!</v>
      </c>
      <c r="D38" t="s">
        <v>32</v>
      </c>
      <c r="E38" s="24"/>
      <c r="G38" s="10" t="s">
        <v>56</v>
      </c>
      <c r="H38" s="22" t="e">
        <f>C55*7*0.7457/1000</f>
        <v>#REF!</v>
      </c>
      <c r="I38" t="s">
        <v>49</v>
      </c>
    </row>
    <row r="39" spans="1:9">
      <c r="B39" s="10" t="s">
        <v>102</v>
      </c>
      <c r="C39" s="12" t="e">
        <f>Interface!#REF!</f>
        <v>#REF!</v>
      </c>
      <c r="D39" t="s">
        <v>32</v>
      </c>
      <c r="E39" s="24"/>
      <c r="G39" s="10" t="s">
        <v>57</v>
      </c>
      <c r="H39" s="22" t="e">
        <f>C56*0.7457*7/1000</f>
        <v>#REF!</v>
      </c>
      <c r="I39" t="s">
        <v>49</v>
      </c>
    </row>
    <row r="40" spans="1:9">
      <c r="B40" s="10" t="s">
        <v>103</v>
      </c>
      <c r="C40" s="12" t="e">
        <f>Interface!#REF!</f>
        <v>#REF!</v>
      </c>
      <c r="D40" t="s">
        <v>32</v>
      </c>
      <c r="E40" s="24"/>
      <c r="H40" s="11"/>
    </row>
    <row r="41" spans="1:9">
      <c r="B41" s="10" t="s">
        <v>104</v>
      </c>
      <c r="C41" s="12" t="e">
        <f>Interface!#REF!</f>
        <v>#REF!</v>
      </c>
      <c r="D41" t="s">
        <v>32</v>
      </c>
      <c r="E41" s="24"/>
      <c r="G41" s="10" t="s">
        <v>60</v>
      </c>
      <c r="H41" s="22" t="e">
        <f>SUM(H36:H39)</f>
        <v>#REF!</v>
      </c>
      <c r="I41" t="s">
        <v>49</v>
      </c>
    </row>
    <row r="42" spans="1:9">
      <c r="B42" s="10" t="s">
        <v>105</v>
      </c>
      <c r="C42" s="12" t="e">
        <f>Interface!#REF!</f>
        <v>#REF!</v>
      </c>
      <c r="D42" t="s">
        <v>32</v>
      </c>
      <c r="E42" s="24"/>
      <c r="G42" s="10" t="s">
        <v>59</v>
      </c>
      <c r="H42" s="13" t="e">
        <f>H28-H41</f>
        <v>#REF!</v>
      </c>
      <c r="I42" t="s">
        <v>49</v>
      </c>
    </row>
    <row r="43" spans="1:9">
      <c r="B43" s="10" t="s">
        <v>106</v>
      </c>
      <c r="C43" s="12" t="e">
        <f>Interface!#REF!</f>
        <v>#REF!</v>
      </c>
      <c r="D43" t="s">
        <v>32</v>
      </c>
      <c r="E43" s="24"/>
    </row>
    <row r="44" spans="1:9">
      <c r="B44" s="10" t="s">
        <v>107</v>
      </c>
      <c r="C44" s="12" t="e">
        <f>Interface!#REF!</f>
        <v>#REF!</v>
      </c>
      <c r="D44" t="s">
        <v>32</v>
      </c>
      <c r="E44" s="24"/>
      <c r="F44" s="15" t="s">
        <v>74</v>
      </c>
    </row>
    <row r="45" spans="1:9">
      <c r="B45" s="10"/>
      <c r="C45" s="12"/>
      <c r="E45" s="24"/>
    </row>
    <row r="46" spans="1:9">
      <c r="A46" s="15" t="s">
        <v>160</v>
      </c>
      <c r="B46" s="10"/>
      <c r="C46" s="12"/>
      <c r="E46" s="24"/>
    </row>
    <row r="47" spans="1:9">
      <c r="B47" s="10"/>
      <c r="C47" s="12"/>
      <c r="E47" s="24"/>
      <c r="G47" s="10" t="s">
        <v>62</v>
      </c>
      <c r="H47" s="12" t="e">
        <f>H29*60*60</f>
        <v>#REF!</v>
      </c>
      <c r="I47" t="s">
        <v>31</v>
      </c>
    </row>
    <row r="48" spans="1:9">
      <c r="B48" s="10" t="s">
        <v>161</v>
      </c>
      <c r="C48" s="12" t="e">
        <f>Interface!#REF!</f>
        <v>#REF!</v>
      </c>
      <c r="D48" t="s">
        <v>32</v>
      </c>
      <c r="E48" s="24"/>
      <c r="G48" s="10"/>
      <c r="H48" s="11"/>
    </row>
    <row r="49" spans="1:9">
      <c r="B49" s="10" t="s">
        <v>162</v>
      </c>
      <c r="C49" s="12" t="e">
        <f>Interface!#REF!</f>
        <v>#REF!</v>
      </c>
      <c r="D49" t="s">
        <v>32</v>
      </c>
      <c r="E49" s="24"/>
      <c r="G49" s="10" t="s">
        <v>63</v>
      </c>
      <c r="H49" s="12" t="e">
        <f>-(SUM(C34:C37)*7+SUM(C38:C44)*2)</f>
        <v>#REF!</v>
      </c>
      <c r="I49" t="s">
        <v>32</v>
      </c>
    </row>
    <row r="50" spans="1:9">
      <c r="C50" s="11"/>
      <c r="E50" s="24"/>
      <c r="G50" s="10" t="s">
        <v>64</v>
      </c>
      <c r="H50" s="11">
        <f>C5</f>
        <v>8.9999999999999998E-4</v>
      </c>
      <c r="I50" t="s">
        <v>65</v>
      </c>
    </row>
    <row r="51" spans="1:9">
      <c r="A51" s="15" t="s">
        <v>50</v>
      </c>
      <c r="C51" s="11"/>
      <c r="E51" s="24"/>
      <c r="G51" s="10" t="s">
        <v>66</v>
      </c>
      <c r="H51" s="12" t="e">
        <f>H50*H49</f>
        <v>#REF!</v>
      </c>
      <c r="I51" t="s">
        <v>31</v>
      </c>
    </row>
    <row r="52" spans="1:9">
      <c r="C52" s="11"/>
      <c r="E52" s="24"/>
    </row>
    <row r="53" spans="1:9">
      <c r="B53" s="10" t="s">
        <v>108</v>
      </c>
      <c r="C53" s="12" t="e">
        <f>Interface!#REF!</f>
        <v>#REF!</v>
      </c>
      <c r="D53" t="s">
        <v>114</v>
      </c>
      <c r="E53" s="24"/>
      <c r="G53" s="10" t="s">
        <v>67</v>
      </c>
      <c r="H53" s="12">
        <f>C6*7</f>
        <v>133000</v>
      </c>
      <c r="I53" t="s">
        <v>31</v>
      </c>
    </row>
    <row r="54" spans="1:9">
      <c r="B54" s="10" t="s">
        <v>109</v>
      </c>
      <c r="C54" s="12" t="e">
        <f>Interface!#REF!</f>
        <v>#REF!</v>
      </c>
      <c r="D54" t="s">
        <v>114</v>
      </c>
      <c r="E54" s="24"/>
      <c r="G54" s="10" t="s">
        <v>68</v>
      </c>
      <c r="H54" s="12" t="e">
        <f>C61*7</f>
        <v>#REF!</v>
      </c>
      <c r="I54" t="s">
        <v>31</v>
      </c>
    </row>
    <row r="55" spans="1:9">
      <c r="B55" s="10" t="s">
        <v>110</v>
      </c>
      <c r="C55" s="12" t="e">
        <f>Interface!#REF!</f>
        <v>#REF!</v>
      </c>
      <c r="D55" t="s">
        <v>114</v>
      </c>
      <c r="E55" s="24"/>
      <c r="G55" s="10" t="s">
        <v>69</v>
      </c>
      <c r="H55" s="12" t="e">
        <f>C60*7</f>
        <v>#REF!</v>
      </c>
      <c r="I55" t="s">
        <v>31</v>
      </c>
    </row>
    <row r="56" spans="1:9">
      <c r="B56" s="10" t="s">
        <v>111</v>
      </c>
      <c r="C56" s="12" t="e">
        <f>Interface!#REF!</f>
        <v>#REF!</v>
      </c>
      <c r="D56" t="s">
        <v>114</v>
      </c>
      <c r="E56" s="24"/>
      <c r="H56" s="11"/>
    </row>
    <row r="57" spans="1:9">
      <c r="C57" s="11"/>
      <c r="E57" s="24"/>
      <c r="G57" s="10" t="s">
        <v>70</v>
      </c>
      <c r="H57" s="12" t="e">
        <f>C63*7</f>
        <v>#REF!</v>
      </c>
      <c r="I57" t="s">
        <v>31</v>
      </c>
    </row>
    <row r="58" spans="1:9">
      <c r="A58" s="15" t="s">
        <v>112</v>
      </c>
      <c r="C58" s="11"/>
      <c r="E58" s="24"/>
      <c r="G58" s="10" t="s">
        <v>71</v>
      </c>
      <c r="H58" s="12" t="e">
        <f>7*SUM(C64:C70)</f>
        <v>#REF!</v>
      </c>
      <c r="I58" t="s">
        <v>31</v>
      </c>
    </row>
    <row r="59" spans="1:9">
      <c r="C59" s="11"/>
      <c r="E59" s="24"/>
      <c r="H59" s="11"/>
    </row>
    <row r="60" spans="1:9">
      <c r="B60" s="10" t="s">
        <v>117</v>
      </c>
      <c r="C60" s="12" t="e">
        <f>Interface!#REF!</f>
        <v>#REF!</v>
      </c>
      <c r="D60" t="s">
        <v>31</v>
      </c>
      <c r="E60" s="24"/>
      <c r="G60" s="10" t="s">
        <v>72</v>
      </c>
      <c r="H60" s="12" t="e">
        <f>H51+H53+H54+H55+H47</f>
        <v>#REF!</v>
      </c>
      <c r="I60" t="s">
        <v>31</v>
      </c>
    </row>
    <row r="61" spans="1:9">
      <c r="B61" s="10" t="s">
        <v>118</v>
      </c>
      <c r="C61" s="12" t="e">
        <f>Interface!#REF!</f>
        <v>#REF!</v>
      </c>
      <c r="D61" t="s">
        <v>31</v>
      </c>
      <c r="E61" s="24"/>
      <c r="G61" s="10" t="s">
        <v>73</v>
      </c>
      <c r="H61" s="12" t="e">
        <f>H60-H57-H58</f>
        <v>#REF!</v>
      </c>
      <c r="I61" t="s">
        <v>31</v>
      </c>
    </row>
    <row r="62" spans="1:9">
      <c r="B62" s="10"/>
      <c r="C62" s="12"/>
      <c r="E62" s="24"/>
    </row>
    <row r="63" spans="1:9">
      <c r="B63" s="10" t="s">
        <v>152</v>
      </c>
      <c r="C63" s="12" t="e">
        <f>Interface!#REF!</f>
        <v>#REF!</v>
      </c>
      <c r="D63" t="s">
        <v>31</v>
      </c>
      <c r="E63" s="24"/>
    </row>
    <row r="64" spans="1:9">
      <c r="B64" s="10" t="s">
        <v>153</v>
      </c>
      <c r="C64" s="12" t="e">
        <f>Interface!#REF!</f>
        <v>#REF!</v>
      </c>
      <c r="D64" t="s">
        <v>31</v>
      </c>
      <c r="E64" s="24"/>
    </row>
    <row r="65" spans="1:5">
      <c r="B65" s="10" t="s">
        <v>154</v>
      </c>
      <c r="C65" s="12" t="e">
        <f>Interface!#REF!</f>
        <v>#REF!</v>
      </c>
      <c r="D65" t="s">
        <v>31</v>
      </c>
      <c r="E65" s="24"/>
    </row>
    <row r="66" spans="1:5">
      <c r="B66" s="10" t="s">
        <v>155</v>
      </c>
      <c r="C66" s="12" t="e">
        <f>Interface!#REF!</f>
        <v>#REF!</v>
      </c>
      <c r="D66" t="s">
        <v>31</v>
      </c>
      <c r="E66" s="24"/>
    </row>
    <row r="67" spans="1:5">
      <c r="B67" s="10" t="s">
        <v>156</v>
      </c>
      <c r="C67" s="12" t="e">
        <f>Interface!#REF!</f>
        <v>#REF!</v>
      </c>
      <c r="D67" t="s">
        <v>31</v>
      </c>
      <c r="E67" s="24"/>
    </row>
    <row r="68" spans="1:5">
      <c r="B68" s="10" t="s">
        <v>157</v>
      </c>
      <c r="C68" s="12" t="e">
        <f>Interface!#REF!</f>
        <v>#REF!</v>
      </c>
      <c r="D68" t="s">
        <v>31</v>
      </c>
      <c r="E68" s="24"/>
    </row>
    <row r="69" spans="1:5">
      <c r="B69" s="10" t="s">
        <v>158</v>
      </c>
      <c r="C69" s="12" t="e">
        <f>Interface!#REF!</f>
        <v>#REF!</v>
      </c>
      <c r="D69" t="s">
        <v>31</v>
      </c>
      <c r="E69" s="24"/>
    </row>
    <row r="70" spans="1:5">
      <c r="B70" s="10" t="s">
        <v>159</v>
      </c>
      <c r="C70" s="12" t="e">
        <f>Interface!#REF!</f>
        <v>#REF!</v>
      </c>
      <c r="D70" t="s">
        <v>31</v>
      </c>
      <c r="E70" s="24"/>
    </row>
    <row r="71" spans="1:5">
      <c r="B71" s="10"/>
      <c r="C71" s="11"/>
      <c r="E71" s="24"/>
    </row>
    <row r="72" spans="1:5">
      <c r="B72" s="10"/>
      <c r="C72" s="11"/>
      <c r="E72" s="24"/>
    </row>
    <row r="73" spans="1:5">
      <c r="B73" s="10"/>
      <c r="C73" s="11"/>
      <c r="E73" s="24"/>
    </row>
    <row r="74" spans="1:5">
      <c r="A74" s="15" t="s">
        <v>113</v>
      </c>
      <c r="C74" s="11"/>
      <c r="E74" s="24"/>
    </row>
    <row r="75" spans="1:5">
      <c r="C75" s="11"/>
      <c r="E75" s="24"/>
    </row>
    <row r="76" spans="1:5">
      <c r="B76" s="10" t="s">
        <v>119</v>
      </c>
      <c r="C76" s="12" t="e">
        <f>Interface!#REF!</f>
        <v>#REF!</v>
      </c>
      <c r="D76" t="s">
        <v>31</v>
      </c>
      <c r="E76" s="24"/>
    </row>
    <row r="77" spans="1:5">
      <c r="C77" s="11"/>
      <c r="E77" s="24"/>
    </row>
    <row r="78" spans="1:5">
      <c r="A78" s="15" t="s">
        <v>128</v>
      </c>
      <c r="C78" s="11"/>
      <c r="E78" s="24"/>
    </row>
    <row r="79" spans="1:5">
      <c r="C79" s="11"/>
      <c r="E79" s="24"/>
    </row>
    <row r="80" spans="1:5">
      <c r="B80" s="10" t="s">
        <v>139</v>
      </c>
      <c r="C80" s="13" t="e">
        <f>Interface!#REF!</f>
        <v>#REF!</v>
      </c>
      <c r="D80" t="s">
        <v>123</v>
      </c>
      <c r="E80" s="24"/>
    </row>
    <row r="81" spans="2:5">
      <c r="B81" s="10" t="s">
        <v>140</v>
      </c>
      <c r="C81" s="13" t="e">
        <f>Interface!#REF!</f>
        <v>#REF!</v>
      </c>
      <c r="D81" t="s">
        <v>123</v>
      </c>
      <c r="E81" s="24"/>
    </row>
    <row r="82" spans="2:5">
      <c r="C82" s="11"/>
      <c r="E82" s="24"/>
    </row>
    <row r="83" spans="2:5">
      <c r="B83" s="10" t="s">
        <v>137</v>
      </c>
      <c r="C83" s="13" t="e">
        <f>Interface!#REF!</f>
        <v>#REF!</v>
      </c>
      <c r="D83" t="s">
        <v>123</v>
      </c>
      <c r="E83" s="24"/>
    </row>
    <row r="84" spans="2:5">
      <c r="B84" s="10" t="s">
        <v>138</v>
      </c>
      <c r="C84" s="13" t="e">
        <f>Interface!#REF!</f>
        <v>#REF!</v>
      </c>
      <c r="D84" t="s">
        <v>123</v>
      </c>
      <c r="E84" s="24"/>
    </row>
    <row r="85" spans="2:5">
      <c r="B85" s="10"/>
      <c r="C85" s="11"/>
      <c r="E85" s="24"/>
    </row>
    <row r="86" spans="2:5">
      <c r="B86" s="10" t="s">
        <v>133</v>
      </c>
      <c r="C86" s="13" t="e">
        <f>Interface!#REF!</f>
        <v>#REF!</v>
      </c>
      <c r="D86" t="s">
        <v>123</v>
      </c>
      <c r="E86" s="24"/>
    </row>
    <row r="87" spans="2:5">
      <c r="B87" s="10" t="s">
        <v>134</v>
      </c>
      <c r="C87" s="13" t="e">
        <f>Interface!#REF!</f>
        <v>#REF!</v>
      </c>
      <c r="D87" t="s">
        <v>123</v>
      </c>
      <c r="E87" s="24"/>
    </row>
    <row r="88" spans="2:5">
      <c r="B88" s="10" t="s">
        <v>135</v>
      </c>
      <c r="C88" s="13" t="e">
        <f>Interface!#REF!</f>
        <v>#REF!</v>
      </c>
      <c r="D88" t="s">
        <v>123</v>
      </c>
      <c r="E88" s="24"/>
    </row>
    <row r="89" spans="2:5">
      <c r="B89" s="10" t="s">
        <v>136</v>
      </c>
      <c r="C89" s="13" t="e">
        <f>Interface!#REF!</f>
        <v>#REF!</v>
      </c>
      <c r="D89" t="s">
        <v>123</v>
      </c>
      <c r="E89" s="24"/>
    </row>
    <row r="90" spans="2:5">
      <c r="B90" s="10"/>
      <c r="C90" s="11"/>
      <c r="E90" s="24"/>
    </row>
    <row r="91" spans="2:5">
      <c r="B91" s="10" t="s">
        <v>163</v>
      </c>
      <c r="C91" s="13" t="e">
        <f>Interface!#REF!</f>
        <v>#REF!</v>
      </c>
      <c r="D91" t="s">
        <v>123</v>
      </c>
      <c r="E91" s="24"/>
    </row>
    <row r="92" spans="2:5">
      <c r="B92" s="10" t="s">
        <v>164</v>
      </c>
      <c r="C92" s="13" t="e">
        <f>Interface!#REF!</f>
        <v>#REF!</v>
      </c>
      <c r="D92" t="s">
        <v>123</v>
      </c>
      <c r="E92" s="24"/>
    </row>
    <row r="93" spans="2:5">
      <c r="B93" s="10" t="s">
        <v>165</v>
      </c>
      <c r="C93" s="13" t="e">
        <f>Interface!#REF!</f>
        <v>#REF!</v>
      </c>
      <c r="D93" t="s">
        <v>123</v>
      </c>
      <c r="E93" s="24"/>
    </row>
    <row r="94" spans="2:5">
      <c r="B94" s="10" t="s">
        <v>166</v>
      </c>
      <c r="C94" s="13" t="e">
        <f>Interface!#REF!</f>
        <v>#REF!</v>
      </c>
      <c r="D94" t="s">
        <v>123</v>
      </c>
      <c r="E94" s="24"/>
    </row>
    <row r="95" spans="2:5">
      <c r="B95" s="10"/>
      <c r="C95" s="11"/>
      <c r="E95" s="24"/>
    </row>
    <row r="96" spans="2:5">
      <c r="B96" s="10" t="s">
        <v>130</v>
      </c>
      <c r="C96" s="13" t="e">
        <f>Interface!#REF!</f>
        <v>#REF!</v>
      </c>
      <c r="D96" t="s">
        <v>123</v>
      </c>
      <c r="E96" s="24"/>
    </row>
    <row r="97" spans="1:5">
      <c r="C97" s="11"/>
      <c r="E97" s="24"/>
    </row>
    <row r="98" spans="1:5">
      <c r="B98" s="10" t="s">
        <v>141</v>
      </c>
      <c r="C98" s="13" t="e">
        <f>Interface!#REF!</f>
        <v>#REF!</v>
      </c>
      <c r="D98" t="s">
        <v>123</v>
      </c>
      <c r="E98" s="24"/>
    </row>
    <row r="99" spans="1:5">
      <c r="B99" s="10" t="s">
        <v>142</v>
      </c>
      <c r="C99" s="13" t="e">
        <f>Interface!#REF!</f>
        <v>#REF!</v>
      </c>
      <c r="D99" t="s">
        <v>123</v>
      </c>
      <c r="E99" s="24"/>
    </row>
    <row r="100" spans="1:5">
      <c r="C100" s="11"/>
      <c r="E100" s="24"/>
    </row>
    <row r="101" spans="1:5">
      <c r="B101" s="10" t="s">
        <v>143</v>
      </c>
      <c r="C101" s="13" t="e">
        <f>Interface!#REF!</f>
        <v>#REF!</v>
      </c>
      <c r="D101" t="s">
        <v>123</v>
      </c>
      <c r="E101" s="24"/>
    </row>
    <row r="102" spans="1:5">
      <c r="B102" s="10" t="s">
        <v>144</v>
      </c>
      <c r="C102" s="13" t="e">
        <f>Interface!#REF!</f>
        <v>#REF!</v>
      </c>
      <c r="D102" t="s">
        <v>123</v>
      </c>
      <c r="E102" s="24"/>
    </row>
    <row r="103" spans="1:5">
      <c r="C103" s="11"/>
      <c r="E103" s="24"/>
    </row>
    <row r="104" spans="1:5">
      <c r="A104" s="15" t="s">
        <v>145</v>
      </c>
      <c r="C104" s="11"/>
      <c r="E104" s="24"/>
    </row>
    <row r="105" spans="1:5">
      <c r="C105" s="11"/>
      <c r="E105" s="24"/>
    </row>
    <row r="106" spans="1:5">
      <c r="B106" s="10" t="s">
        <v>146</v>
      </c>
      <c r="C106" s="13" t="e">
        <f>Interface!#REF!</f>
        <v>#REF!</v>
      </c>
      <c r="D106" t="s">
        <v>150</v>
      </c>
      <c r="E106" s="24"/>
    </row>
    <row r="107" spans="1:5">
      <c r="B107" s="10" t="s">
        <v>147</v>
      </c>
      <c r="C107" s="13" t="e">
        <f>Interface!#REF!</f>
        <v>#REF!</v>
      </c>
      <c r="D107" t="s">
        <v>150</v>
      </c>
      <c r="E107" s="24"/>
    </row>
    <row r="108" spans="1:5">
      <c r="B108" s="10"/>
      <c r="C108" s="13"/>
      <c r="E108" s="24"/>
    </row>
    <row r="109" spans="1:5">
      <c r="B109" s="10" t="s">
        <v>148</v>
      </c>
      <c r="C109" s="13" t="e">
        <f>Interface!#REF!</f>
        <v>#REF!</v>
      </c>
      <c r="D109" t="s">
        <v>150</v>
      </c>
      <c r="E109" s="24"/>
    </row>
    <row r="110" spans="1:5">
      <c r="B110" s="10" t="s">
        <v>149</v>
      </c>
      <c r="C110" s="13" t="e">
        <f>Interface!#REF!</f>
        <v>#REF!</v>
      </c>
      <c r="D110" t="s">
        <v>150</v>
      </c>
      <c r="E110" s="24"/>
    </row>
    <row r="111" spans="1:5">
      <c r="C111" s="11"/>
      <c r="E111" s="24"/>
    </row>
    <row r="112" spans="1:5">
      <c r="A112" s="15" t="s">
        <v>268</v>
      </c>
      <c r="E112" s="24"/>
    </row>
    <row r="113" spans="2:5">
      <c r="E113" s="24"/>
    </row>
    <row r="114" spans="2:5">
      <c r="B114" s="10" t="s">
        <v>269</v>
      </c>
      <c r="C114" s="12" t="e">
        <f>Interface!#REF!</f>
        <v>#REF!</v>
      </c>
      <c r="D114" t="s">
        <v>31</v>
      </c>
      <c r="E114" s="24"/>
    </row>
    <row r="115" spans="2:5">
      <c r="B115" s="10" t="s">
        <v>270</v>
      </c>
      <c r="C115" s="12" t="e">
        <f>Interface!#REF!</f>
        <v>#REF!</v>
      </c>
      <c r="D115" t="s">
        <v>31</v>
      </c>
      <c r="E115" s="24"/>
    </row>
    <row r="116" spans="2:5">
      <c r="E116" s="24"/>
    </row>
    <row r="117" spans="2:5">
      <c r="E117" s="24"/>
    </row>
    <row r="118" spans="2:5">
      <c r="E118" s="24"/>
    </row>
    <row r="119" spans="2:5">
      <c r="E119" s="24"/>
    </row>
    <row r="120" spans="2:5">
      <c r="E120" s="24"/>
    </row>
    <row r="121" spans="2:5">
      <c r="E121" s="24"/>
    </row>
    <row r="122" spans="2:5">
      <c r="E122" s="24"/>
    </row>
    <row r="123" spans="2:5">
      <c r="E123" s="25"/>
    </row>
    <row r="124" spans="2:5">
      <c r="E124" s="25"/>
    </row>
    <row r="125" spans="2:5">
      <c r="E125" s="25"/>
    </row>
    <row r="126" spans="2:5">
      <c r="E126" s="25"/>
    </row>
    <row r="127" spans="2:5">
      <c r="E127" s="25"/>
    </row>
    <row r="128" spans="2:5">
      <c r="E128" s="25"/>
    </row>
    <row r="129" spans="5:5">
      <c r="E129" s="25"/>
    </row>
    <row r="130" spans="5:5">
      <c r="E130" s="25"/>
    </row>
    <row r="131" spans="5:5">
      <c r="E131" s="25"/>
    </row>
    <row r="132" spans="5:5">
      <c r="E132" s="25"/>
    </row>
    <row r="133" spans="5:5">
      <c r="E133" s="25"/>
    </row>
    <row r="134" spans="5:5">
      <c r="E134" s="25"/>
    </row>
    <row r="135" spans="5:5">
      <c r="E135" s="25"/>
    </row>
    <row r="136" spans="5:5">
      <c r="E136" s="25"/>
    </row>
    <row r="137" spans="5:5">
      <c r="E137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J103"/>
  <sheetViews>
    <sheetView workbookViewId="0">
      <selection activeCell="D92" sqref="D92"/>
    </sheetView>
  </sheetViews>
  <sheetFormatPr defaultRowHeight="15"/>
  <cols>
    <col min="1" max="23" width="15.7109375" customWidth="1"/>
  </cols>
  <sheetData>
    <row r="1" spans="1:10" ht="21">
      <c r="A1" s="26" t="s">
        <v>167</v>
      </c>
    </row>
    <row r="3" spans="1:10">
      <c r="A3" s="15" t="s">
        <v>195</v>
      </c>
    </row>
    <row r="5" spans="1:10">
      <c r="B5" s="34" t="s">
        <v>196</v>
      </c>
      <c r="C5" s="9">
        <v>527</v>
      </c>
    </row>
    <row r="6" spans="1:10">
      <c r="B6" s="10" t="s">
        <v>203</v>
      </c>
      <c r="C6" s="9">
        <v>1.05</v>
      </c>
    </row>
    <row r="7" spans="1:10">
      <c r="B7" s="10" t="s">
        <v>202</v>
      </c>
      <c r="C7" s="9">
        <v>5.04</v>
      </c>
    </row>
    <row r="10" spans="1:10">
      <c r="A10" s="15" t="s">
        <v>192</v>
      </c>
    </row>
    <row r="12" spans="1:10">
      <c r="C12" s="10" t="s">
        <v>168</v>
      </c>
      <c r="D12" s="10" t="s">
        <v>193</v>
      </c>
      <c r="E12" s="10" t="s">
        <v>169</v>
      </c>
      <c r="F12" s="10" t="s">
        <v>170</v>
      </c>
      <c r="G12" s="10" t="s">
        <v>171</v>
      </c>
      <c r="H12" s="10" t="s">
        <v>172</v>
      </c>
      <c r="I12" s="10" t="s">
        <v>173</v>
      </c>
      <c r="J12" s="10" t="s">
        <v>174</v>
      </c>
    </row>
    <row r="13" spans="1:10" ht="15.75" thickBot="1">
      <c r="C13" s="29" t="s">
        <v>175</v>
      </c>
      <c r="D13" s="29" t="s">
        <v>176</v>
      </c>
      <c r="E13" s="29" t="s">
        <v>177</v>
      </c>
      <c r="F13" s="29" t="s">
        <v>177</v>
      </c>
      <c r="G13" s="29" t="s">
        <v>177</v>
      </c>
      <c r="H13" s="29" t="s">
        <v>177</v>
      </c>
      <c r="I13" s="29" t="s">
        <v>177</v>
      </c>
      <c r="J13" s="18"/>
    </row>
    <row r="14" spans="1:10">
      <c r="B14" s="30" t="s">
        <v>96</v>
      </c>
      <c r="C14" s="12" t="e">
        <f>ABS(Calculations!C34)</f>
        <v>#REF!</v>
      </c>
      <c r="D14" s="9">
        <v>44</v>
      </c>
      <c r="E14" s="13" t="e">
        <f>Calculations!C80</f>
        <v>#REF!</v>
      </c>
      <c r="F14" s="13" t="e">
        <f>Calculations!C81</f>
        <v>#REF!</v>
      </c>
      <c r="G14" s="13">
        <f>Calculations!C3</f>
        <v>91.4</v>
      </c>
      <c r="H14" s="13">
        <f>Calculations!C4</f>
        <v>113</v>
      </c>
      <c r="I14" s="13" t="e">
        <f>((E14-H14)-(F14-G14))/LN((E14-H14)/(F14-G14))</f>
        <v>#REF!</v>
      </c>
      <c r="J14" s="9">
        <v>1.1499999999999999</v>
      </c>
    </row>
    <row r="15" spans="1:10">
      <c r="B15" s="30" t="s">
        <v>178</v>
      </c>
      <c r="C15" s="12" t="e">
        <f>ABS(Calculations!C35)</f>
        <v>#REF!</v>
      </c>
      <c r="D15" s="9">
        <v>200</v>
      </c>
      <c r="E15" s="13" t="e">
        <f>Calculations!C83</f>
        <v>#REF!</v>
      </c>
      <c r="F15" s="13" t="e">
        <f>Calculations!C84</f>
        <v>#REF!</v>
      </c>
      <c r="G15" s="13">
        <f>Calculations!C3</f>
        <v>91.4</v>
      </c>
      <c r="H15" s="13">
        <f>Calculations!C4</f>
        <v>113</v>
      </c>
      <c r="I15" s="13" t="e">
        <f t="shared" ref="I15:I20" si="0">((E15-H15)-(F15-G15))/LN((E15-H15)/(F15-G15))</f>
        <v>#REF!</v>
      </c>
      <c r="J15" s="9">
        <v>1.1499999999999999</v>
      </c>
    </row>
    <row r="16" spans="1:10">
      <c r="B16" s="30" t="s">
        <v>94</v>
      </c>
      <c r="C16" s="12" t="e">
        <f>ABS(Calculations!C30)</f>
        <v>#REF!</v>
      </c>
      <c r="D16" s="9">
        <v>350</v>
      </c>
      <c r="E16" s="13">
        <f>Calculations!C8</f>
        <v>259.25</v>
      </c>
      <c r="F16" s="32" t="s">
        <v>179</v>
      </c>
      <c r="G16" s="32" t="s">
        <v>179</v>
      </c>
      <c r="H16" s="13" t="e">
        <f>Calculations!C96</f>
        <v>#REF!</v>
      </c>
      <c r="I16" s="13" t="e">
        <f>E16-H16</f>
        <v>#REF!</v>
      </c>
      <c r="J16" s="9">
        <v>1.1499999999999999</v>
      </c>
    </row>
    <row r="17" spans="2:10">
      <c r="B17" s="30" t="s">
        <v>180</v>
      </c>
      <c r="C17" s="12" t="e">
        <f>ABS(Calculations!C36)</f>
        <v>#REF!</v>
      </c>
      <c r="D17" s="9">
        <v>400</v>
      </c>
      <c r="E17" s="13" t="e">
        <f>Calculations!C98</f>
        <v>#REF!</v>
      </c>
      <c r="F17" s="13" t="e">
        <f>Calculations!C99</f>
        <v>#REF!</v>
      </c>
      <c r="G17" s="13">
        <f>Calculations!C3</f>
        <v>91.4</v>
      </c>
      <c r="H17" s="13">
        <f>Calculations!C4</f>
        <v>113</v>
      </c>
      <c r="I17" s="13" t="e">
        <f t="shared" si="0"/>
        <v>#REF!</v>
      </c>
      <c r="J17" s="9">
        <v>1.1499999999999999</v>
      </c>
    </row>
    <row r="18" spans="2:10">
      <c r="B18" s="30" t="s">
        <v>181</v>
      </c>
      <c r="C18" s="12" t="e">
        <f>ABS(Calculations!C48)</f>
        <v>#REF!</v>
      </c>
      <c r="D18" s="9">
        <v>200</v>
      </c>
      <c r="E18" s="13" t="e">
        <f>Calculations!C86</f>
        <v>#REF!</v>
      </c>
      <c r="F18" s="13" t="e">
        <f>Calculations!C87</f>
        <v>#REF!</v>
      </c>
      <c r="G18" s="13" t="e">
        <f>Calculations!C88</f>
        <v>#REF!</v>
      </c>
      <c r="H18" s="13" t="e">
        <f>Calculations!C89</f>
        <v>#REF!</v>
      </c>
      <c r="I18" s="13" t="e">
        <f t="shared" si="0"/>
        <v>#REF!</v>
      </c>
      <c r="J18" s="9">
        <v>1.1499999999999999</v>
      </c>
    </row>
    <row r="19" spans="2:10">
      <c r="B19" s="30" t="s">
        <v>182</v>
      </c>
      <c r="C19" s="12" t="e">
        <f>ABS(Calculations!C37)</f>
        <v>#REF!</v>
      </c>
      <c r="D19" s="9">
        <v>200</v>
      </c>
      <c r="E19" s="13" t="e">
        <f>Calculations!C101</f>
        <v>#REF!</v>
      </c>
      <c r="F19" s="13" t="e">
        <f>Calculations!C102</f>
        <v>#REF!</v>
      </c>
      <c r="G19" s="13">
        <f>Calculations!C3</f>
        <v>91.4</v>
      </c>
      <c r="H19" s="13" t="e">
        <f>Calculations!F13</f>
        <v>#REF!</v>
      </c>
      <c r="I19" s="13" t="e">
        <f t="shared" si="0"/>
        <v>#REF!</v>
      </c>
      <c r="J19" s="9">
        <v>1.1499999999999999</v>
      </c>
    </row>
    <row r="20" spans="2:10">
      <c r="B20" s="33" t="s">
        <v>191</v>
      </c>
      <c r="C20" s="12" t="e">
        <f>ABS(Calculations!C49)</f>
        <v>#REF!</v>
      </c>
      <c r="D20" s="9">
        <v>200</v>
      </c>
      <c r="E20" s="13" t="e">
        <f>Calculations!C91</f>
        <v>#REF!</v>
      </c>
      <c r="F20" s="13" t="e">
        <f>Calculations!C92</f>
        <v>#REF!</v>
      </c>
      <c r="G20" s="13" t="e">
        <f>Calculations!C93</f>
        <v>#REF!</v>
      </c>
      <c r="H20" s="13" t="e">
        <f>Calculations!C94</f>
        <v>#REF!</v>
      </c>
      <c r="I20" s="13" t="e">
        <f t="shared" si="0"/>
        <v>#REF!</v>
      </c>
      <c r="J20" s="9">
        <v>1.1499999999999999</v>
      </c>
    </row>
    <row r="21" spans="2:10">
      <c r="C21" t="s">
        <v>194</v>
      </c>
    </row>
    <row r="23" spans="2:10">
      <c r="C23" s="10" t="s">
        <v>183</v>
      </c>
      <c r="D23" s="10" t="s">
        <v>184</v>
      </c>
      <c r="E23" s="10" t="s">
        <v>185</v>
      </c>
      <c r="F23" s="10" t="s">
        <v>186</v>
      </c>
      <c r="G23" s="10" t="s">
        <v>186</v>
      </c>
      <c r="H23" s="10" t="s">
        <v>187</v>
      </c>
      <c r="I23" s="10" t="s">
        <v>188</v>
      </c>
    </row>
    <row r="24" spans="2:10" ht="15.75" thickBot="1">
      <c r="C24" s="29" t="s">
        <v>189</v>
      </c>
      <c r="D24" s="18"/>
      <c r="E24" s="29" t="s">
        <v>189</v>
      </c>
      <c r="F24" s="29" t="s">
        <v>190</v>
      </c>
      <c r="G24" s="29" t="s">
        <v>197</v>
      </c>
      <c r="H24" s="29" t="s">
        <v>197</v>
      </c>
      <c r="I24" s="35" t="s">
        <v>198</v>
      </c>
    </row>
    <row r="25" spans="2:10">
      <c r="B25" s="30" t="s">
        <v>96</v>
      </c>
      <c r="C25" s="12" t="e">
        <f>C14/D14/I14</f>
        <v>#REF!</v>
      </c>
      <c r="D25" s="12" t="e">
        <f>QUOTIENT(C25,12000)+1</f>
        <v>#REF!</v>
      </c>
      <c r="E25" s="12" t="e">
        <f>C25/D25*J14</f>
        <v>#REF!</v>
      </c>
      <c r="F25" s="12" t="e">
        <f t="shared" ref="F25:F31" si="1">EXP(11.3852-0.9186*LN(E25) + 0.0979*LN(E25)^2)</f>
        <v>#REF!</v>
      </c>
      <c r="G25" s="12" t="e">
        <f>F25*$C$5/500</f>
        <v>#REF!</v>
      </c>
      <c r="H25" s="12" t="e">
        <f>G25*D25</f>
        <v>#REF!</v>
      </c>
      <c r="I25" s="12" t="e">
        <f>H25*7</f>
        <v>#REF!</v>
      </c>
    </row>
    <row r="26" spans="2:10">
      <c r="B26" s="30" t="s">
        <v>178</v>
      </c>
      <c r="C26" s="12" t="e">
        <f t="shared" ref="C26:C31" si="2">C15/D15/I15</f>
        <v>#REF!</v>
      </c>
      <c r="D26" s="12" t="e">
        <f t="shared" ref="D26:D31" si="3">QUOTIENT(C26,12000)+1</f>
        <v>#REF!</v>
      </c>
      <c r="E26" s="12" t="e">
        <f t="shared" ref="E26:E31" si="4">C26/D26*J15</f>
        <v>#REF!</v>
      </c>
      <c r="F26" s="12" t="e">
        <f t="shared" si="1"/>
        <v>#REF!</v>
      </c>
      <c r="G26" s="12" t="e">
        <f t="shared" ref="G26:G31" si="5">F26*$C$5/500</f>
        <v>#REF!</v>
      </c>
      <c r="H26" s="12" t="e">
        <f t="shared" ref="H26:H31" si="6">G26*D26</f>
        <v>#REF!</v>
      </c>
      <c r="I26" s="12" t="e">
        <f t="shared" ref="I26:I31" si="7">H26*7</f>
        <v>#REF!</v>
      </c>
    </row>
    <row r="27" spans="2:10">
      <c r="B27" s="30" t="s">
        <v>94</v>
      </c>
      <c r="C27" s="12" t="e">
        <f t="shared" si="2"/>
        <v>#REF!</v>
      </c>
      <c r="D27" s="12" t="e">
        <f t="shared" si="3"/>
        <v>#REF!</v>
      </c>
      <c r="E27" s="12" t="e">
        <f t="shared" si="4"/>
        <v>#REF!</v>
      </c>
      <c r="F27" s="12" t="e">
        <f t="shared" si="1"/>
        <v>#REF!</v>
      </c>
      <c r="G27" s="12" t="e">
        <f t="shared" si="5"/>
        <v>#REF!</v>
      </c>
      <c r="H27" s="12" t="e">
        <f t="shared" si="6"/>
        <v>#REF!</v>
      </c>
      <c r="I27" s="12" t="e">
        <f t="shared" si="7"/>
        <v>#REF!</v>
      </c>
    </row>
    <row r="28" spans="2:10">
      <c r="B28" s="30" t="s">
        <v>180</v>
      </c>
      <c r="C28" s="12" t="e">
        <f t="shared" si="2"/>
        <v>#REF!</v>
      </c>
      <c r="D28" s="12" t="e">
        <f t="shared" si="3"/>
        <v>#REF!</v>
      </c>
      <c r="E28" s="12" t="e">
        <f t="shared" si="4"/>
        <v>#REF!</v>
      </c>
      <c r="F28" s="12" t="e">
        <f t="shared" si="1"/>
        <v>#REF!</v>
      </c>
      <c r="G28" s="12" t="e">
        <f t="shared" si="5"/>
        <v>#REF!</v>
      </c>
      <c r="H28" s="12" t="e">
        <f t="shared" si="6"/>
        <v>#REF!</v>
      </c>
      <c r="I28" s="12" t="e">
        <f t="shared" si="7"/>
        <v>#REF!</v>
      </c>
    </row>
    <row r="29" spans="2:10">
      <c r="B29" s="30" t="s">
        <v>181</v>
      </c>
      <c r="C29" s="12" t="e">
        <f t="shared" si="2"/>
        <v>#REF!</v>
      </c>
      <c r="D29" s="12" t="e">
        <f t="shared" si="3"/>
        <v>#REF!</v>
      </c>
      <c r="E29" s="12" t="e">
        <f t="shared" si="4"/>
        <v>#REF!</v>
      </c>
      <c r="F29" s="12" t="e">
        <f t="shared" si="1"/>
        <v>#REF!</v>
      </c>
      <c r="G29" s="12" t="e">
        <f t="shared" si="5"/>
        <v>#REF!</v>
      </c>
      <c r="H29" s="12" t="e">
        <f t="shared" si="6"/>
        <v>#REF!</v>
      </c>
      <c r="I29" s="12" t="e">
        <f t="shared" si="7"/>
        <v>#REF!</v>
      </c>
    </row>
    <row r="30" spans="2:10">
      <c r="B30" s="30" t="s">
        <v>182</v>
      </c>
      <c r="C30" s="12" t="e">
        <f t="shared" si="2"/>
        <v>#REF!</v>
      </c>
      <c r="D30" s="12" t="e">
        <f t="shared" si="3"/>
        <v>#REF!</v>
      </c>
      <c r="E30" s="12" t="e">
        <f t="shared" si="4"/>
        <v>#REF!</v>
      </c>
      <c r="F30" s="12" t="e">
        <f t="shared" si="1"/>
        <v>#REF!</v>
      </c>
      <c r="G30" s="12" t="e">
        <f t="shared" si="5"/>
        <v>#REF!</v>
      </c>
      <c r="H30" s="12" t="e">
        <f t="shared" si="6"/>
        <v>#REF!</v>
      </c>
      <c r="I30" s="12" t="e">
        <f t="shared" si="7"/>
        <v>#REF!</v>
      </c>
    </row>
    <row r="31" spans="2:10">
      <c r="B31" s="33" t="s">
        <v>191</v>
      </c>
      <c r="C31" s="12" t="e">
        <f t="shared" si="2"/>
        <v>#REF!</v>
      </c>
      <c r="D31" s="12" t="e">
        <f t="shared" si="3"/>
        <v>#REF!</v>
      </c>
      <c r="E31" s="12" t="e">
        <f t="shared" si="4"/>
        <v>#REF!</v>
      </c>
      <c r="F31" s="12" t="e">
        <f t="shared" si="1"/>
        <v>#REF!</v>
      </c>
      <c r="G31" s="12" t="e">
        <f t="shared" si="5"/>
        <v>#REF!</v>
      </c>
      <c r="H31" s="12" t="e">
        <f t="shared" si="6"/>
        <v>#REF!</v>
      </c>
      <c r="I31" s="12" t="e">
        <f t="shared" si="7"/>
        <v>#REF!</v>
      </c>
    </row>
    <row r="34" spans="1:6">
      <c r="C34" s="36" t="s">
        <v>199</v>
      </c>
      <c r="D34" s="12" t="e">
        <f>SUM(I25:I31)</f>
        <v>#REF!</v>
      </c>
      <c r="E34" t="s">
        <v>200</v>
      </c>
    </row>
    <row r="36" spans="1:6">
      <c r="A36" s="15" t="s">
        <v>67</v>
      </c>
    </row>
    <row r="38" spans="1:6" ht="17.25">
      <c r="C38" s="10" t="s">
        <v>204</v>
      </c>
      <c r="D38" s="9">
        <v>490</v>
      </c>
      <c r="E38" t="s">
        <v>205</v>
      </c>
      <c r="F38" t="s">
        <v>206</v>
      </c>
    </row>
    <row r="39" spans="1:6">
      <c r="C39" s="10" t="s">
        <v>207</v>
      </c>
      <c r="D39" s="9">
        <v>1.25</v>
      </c>
      <c r="E39" t="s">
        <v>208</v>
      </c>
    </row>
    <row r="40" spans="1:6">
      <c r="C40" s="10" t="s">
        <v>209</v>
      </c>
      <c r="D40" s="14">
        <v>3643.8494722222222</v>
      </c>
      <c r="E40" t="s">
        <v>210</v>
      </c>
    </row>
    <row r="41" spans="1:6">
      <c r="C41" s="10" t="s">
        <v>211</v>
      </c>
      <c r="D41" s="9">
        <v>6</v>
      </c>
      <c r="E41" t="s">
        <v>212</v>
      </c>
    </row>
    <row r="42" spans="1:6">
      <c r="C42" s="10" t="s">
        <v>213</v>
      </c>
      <c r="D42" s="9">
        <v>3</v>
      </c>
      <c r="E42" t="s">
        <v>214</v>
      </c>
    </row>
    <row r="43" spans="1:6">
      <c r="C43" s="10" t="s">
        <v>215</v>
      </c>
      <c r="D43" s="9">
        <v>1</v>
      </c>
      <c r="F43" t="s">
        <v>216</v>
      </c>
    </row>
    <row r="44" spans="1:6">
      <c r="D44" s="11"/>
    </row>
    <row r="45" spans="1:6">
      <c r="C45" s="10" t="s">
        <v>217</v>
      </c>
      <c r="D45" s="13">
        <f>SQRT(D40/D41)/PI()*2</f>
        <v>15.688618837447386</v>
      </c>
      <c r="E45" t="s">
        <v>150</v>
      </c>
    </row>
    <row r="46" spans="1:6">
      <c r="C46" s="10" t="s">
        <v>218</v>
      </c>
      <c r="D46" s="11">
        <f>D41*D42</f>
        <v>18</v>
      </c>
      <c r="E46" t="s">
        <v>150</v>
      </c>
    </row>
    <row r="47" spans="1:6">
      <c r="D47" s="11"/>
    </row>
    <row r="48" spans="1:6">
      <c r="C48" s="10" t="s">
        <v>219</v>
      </c>
      <c r="D48" s="12">
        <f>PI()*(D45+D39/12)*(D46+0.8*D45)*D39/12*D38</f>
        <v>77367.291845195141</v>
      </c>
      <c r="E48" t="s">
        <v>220</v>
      </c>
      <c r="F48" t="s">
        <v>221</v>
      </c>
    </row>
    <row r="49" spans="1:6">
      <c r="C49" s="10" t="s">
        <v>224</v>
      </c>
      <c r="D49" s="12">
        <f>C5/500*D43*EXP(7.0132+0.18255*LN(D48)+0.02297*LN(D48)^2)</f>
        <v>167886.10999521639</v>
      </c>
      <c r="E49" t="s">
        <v>200</v>
      </c>
      <c r="F49" t="s">
        <v>222</v>
      </c>
    </row>
    <row r="50" spans="1:6">
      <c r="C50" s="10" t="s">
        <v>225</v>
      </c>
      <c r="D50" s="12">
        <f>C5/500*300.9*D45^0.63316*D46^0.80161</f>
        <v>18386.463651245147</v>
      </c>
      <c r="E50" t="s">
        <v>200</v>
      </c>
    </row>
    <row r="51" spans="1:6">
      <c r="C51" s="10" t="s">
        <v>226</v>
      </c>
      <c r="D51" s="12">
        <f>D49+D50</f>
        <v>186272.57364646153</v>
      </c>
      <c r="E51" t="s">
        <v>200</v>
      </c>
    </row>
    <row r="52" spans="1:6">
      <c r="D52" s="11"/>
    </row>
    <row r="53" spans="1:6">
      <c r="C53" s="10" t="s">
        <v>223</v>
      </c>
      <c r="D53" s="37">
        <f>D51*7</f>
        <v>1303908.0155252307</v>
      </c>
      <c r="E53" t="s">
        <v>200</v>
      </c>
    </row>
    <row r="54" spans="1:6">
      <c r="C54" s="10"/>
      <c r="D54" s="37"/>
    </row>
    <row r="55" spans="1:6">
      <c r="A55" s="15" t="s">
        <v>243</v>
      </c>
      <c r="C55" s="10"/>
      <c r="D55" s="37"/>
    </row>
    <row r="56" spans="1:6">
      <c r="D56" s="38"/>
    </row>
    <row r="57" spans="1:6">
      <c r="D57" s="10" t="s">
        <v>227</v>
      </c>
      <c r="E57" s="10" t="s">
        <v>228</v>
      </c>
    </row>
    <row r="58" spans="1:6">
      <c r="C58" s="10" t="s">
        <v>229</v>
      </c>
      <c r="D58" s="31">
        <v>1</v>
      </c>
      <c r="E58" s="31">
        <v>1</v>
      </c>
    </row>
    <row r="59" spans="1:6" ht="17.25">
      <c r="C59" s="10" t="s">
        <v>230</v>
      </c>
      <c r="D59" s="31">
        <v>490</v>
      </c>
      <c r="E59" s="31">
        <v>490</v>
      </c>
      <c r="F59" t="s">
        <v>231</v>
      </c>
    </row>
    <row r="60" spans="1:6" ht="17.25">
      <c r="C60" s="10" t="s">
        <v>232</v>
      </c>
      <c r="D60" s="31">
        <v>250</v>
      </c>
      <c r="E60" s="31">
        <v>250</v>
      </c>
      <c r="F60" t="s">
        <v>233</v>
      </c>
    </row>
    <row r="61" spans="1:6" ht="17.25">
      <c r="C61" s="10" t="s">
        <v>244</v>
      </c>
      <c r="D61" s="13">
        <f>D60*$C$5/500</f>
        <v>263.5</v>
      </c>
      <c r="E61" s="13">
        <f>E60*$C$5/500</f>
        <v>263.5</v>
      </c>
      <c r="F61" t="s">
        <v>233</v>
      </c>
    </row>
    <row r="62" spans="1:6">
      <c r="C62" s="10" t="s">
        <v>234</v>
      </c>
      <c r="D62" s="13" t="e">
        <f>Calculations!C106</f>
        <v>#REF!</v>
      </c>
      <c r="E62" s="13" t="e">
        <f>Calculations!C109</f>
        <v>#REF!</v>
      </c>
      <c r="F62" t="s">
        <v>150</v>
      </c>
    </row>
    <row r="63" spans="1:6">
      <c r="C63" s="10" t="s">
        <v>235</v>
      </c>
      <c r="D63" s="13" t="e">
        <f>Calculations!C107</f>
        <v>#REF!</v>
      </c>
      <c r="E63" s="13" t="e">
        <f>Calculations!C110</f>
        <v>#REF!</v>
      </c>
      <c r="F63" t="s">
        <v>150</v>
      </c>
    </row>
    <row r="64" spans="1:6">
      <c r="C64" s="10" t="s">
        <v>236</v>
      </c>
      <c r="D64" s="13" t="e">
        <f>D63+4</f>
        <v>#REF!</v>
      </c>
      <c r="E64" s="13" t="e">
        <f>E63+4</f>
        <v>#REF!</v>
      </c>
      <c r="F64" t="s">
        <v>150</v>
      </c>
    </row>
    <row r="65" spans="1:6">
      <c r="C65" s="10" t="s">
        <v>237</v>
      </c>
      <c r="D65" s="11">
        <v>1.25</v>
      </c>
      <c r="E65" s="11">
        <v>1.25</v>
      </c>
      <c r="F65" t="s">
        <v>208</v>
      </c>
    </row>
    <row r="66" spans="1:6" ht="17.25">
      <c r="C66" s="10" t="s">
        <v>238</v>
      </c>
      <c r="D66" s="12" t="e">
        <f>PI()*(D62/2)^2*D63</f>
        <v>#REF!</v>
      </c>
      <c r="E66" s="12" t="e">
        <f>PI()*(E62/2)^2*E63</f>
        <v>#REF!</v>
      </c>
      <c r="F66" t="s">
        <v>239</v>
      </c>
    </row>
    <row r="67" spans="1:6">
      <c r="C67" s="10" t="s">
        <v>240</v>
      </c>
      <c r="D67" s="12" t="e">
        <f>PI()*(D62+D65/12)*(D64+0.8*D62)*D65/12*D59</f>
        <v>#REF!</v>
      </c>
      <c r="E67" s="12" t="e">
        <f>PI()*(E62+E65/12)*(E64+0.8*E62)*E65/12*E59</f>
        <v>#REF!</v>
      </c>
      <c r="F67" t="s">
        <v>241</v>
      </c>
    </row>
    <row r="69" spans="1:6">
      <c r="C69" s="10" t="s">
        <v>224</v>
      </c>
      <c r="D69" s="12" t="e">
        <f>EXP(7.2756+0.18255*LN(D67)+0.02297*LN(D67)^2)*D58*$C$5/500</f>
        <v>#REF!</v>
      </c>
      <c r="E69" s="12" t="e">
        <f>EXP(7.2756+0.18255*LN(E67)+0.02297*LN(E67)^2)*E58*$C$5/500</f>
        <v>#REF!</v>
      </c>
      <c r="F69" t="s">
        <v>200</v>
      </c>
    </row>
    <row r="70" spans="1:6">
      <c r="C70" s="10" t="s">
        <v>245</v>
      </c>
      <c r="D70" s="12" t="e">
        <f>D66*D61</f>
        <v>#REF!</v>
      </c>
      <c r="E70" s="12" t="e">
        <f>E66*E61</f>
        <v>#REF!</v>
      </c>
      <c r="F70" t="s">
        <v>200</v>
      </c>
    </row>
    <row r="71" spans="1:6">
      <c r="C71" s="10" t="s">
        <v>246</v>
      </c>
      <c r="D71" s="12" t="e">
        <f>($C$5/500)*300.9*D62^0.63316*D64^0.80161</f>
        <v>#REF!</v>
      </c>
      <c r="E71" s="12" t="e">
        <f>($C$5/500)*300.9*E62^0.63316*E64^0.80161</f>
        <v>#REF!</v>
      </c>
      <c r="F71" t="s">
        <v>200</v>
      </c>
    </row>
    <row r="72" spans="1:6">
      <c r="D72" s="12"/>
      <c r="E72" s="12"/>
    </row>
    <row r="73" spans="1:6">
      <c r="C73" s="10" t="s">
        <v>187</v>
      </c>
      <c r="D73" s="12" t="e">
        <f>SUM(D69:D71)</f>
        <v>#REF!</v>
      </c>
      <c r="E73" s="12" t="e">
        <f>SUM(E69:E71)</f>
        <v>#REF!</v>
      </c>
      <c r="F73" t="s">
        <v>200</v>
      </c>
    </row>
    <row r="74" spans="1:6">
      <c r="C74" s="10" t="s">
        <v>242</v>
      </c>
      <c r="D74" s="37" t="e">
        <f>D73*7</f>
        <v>#REF!</v>
      </c>
      <c r="E74" s="37" t="e">
        <f>E73*7</f>
        <v>#REF!</v>
      </c>
      <c r="F74" t="s">
        <v>200</v>
      </c>
    </row>
    <row r="76" spans="1:6">
      <c r="A76" s="39" t="s">
        <v>266</v>
      </c>
    </row>
    <row r="77" spans="1:6">
      <c r="B77" s="19"/>
    </row>
    <row r="78" spans="1:6">
      <c r="C78" s="10" t="s">
        <v>247</v>
      </c>
      <c r="D78" s="12" t="e">
        <f>Calculations!C54/D79</f>
        <v>#REF!</v>
      </c>
      <c r="E78" t="s">
        <v>114</v>
      </c>
    </row>
    <row r="79" spans="1:6">
      <c r="C79" s="10" t="s">
        <v>248</v>
      </c>
      <c r="D79" s="9">
        <v>2</v>
      </c>
    </row>
    <row r="80" spans="1:6">
      <c r="C80" s="10" t="s">
        <v>267</v>
      </c>
      <c r="D80" s="12" t="e">
        <f>D79*$C$5/500*EXP(6.8929+0.79*LN(D78))</f>
        <v>#REF!</v>
      </c>
      <c r="E80" t="s">
        <v>200</v>
      </c>
    </row>
    <row r="82" spans="1:6">
      <c r="C82" s="10" t="s">
        <v>249</v>
      </c>
      <c r="D82" s="37" t="e">
        <f>D80*7</f>
        <v>#REF!</v>
      </c>
      <c r="E82" t="s">
        <v>200</v>
      </c>
    </row>
    <row r="84" spans="1:6">
      <c r="C84" s="10" t="s">
        <v>250</v>
      </c>
      <c r="D84" s="12" t="e">
        <f>Calculations!C55</f>
        <v>#REF!</v>
      </c>
      <c r="E84" t="s">
        <v>114</v>
      </c>
    </row>
    <row r="85" spans="1:6">
      <c r="C85" s="10" t="s">
        <v>251</v>
      </c>
      <c r="D85" s="12" t="e">
        <f>Calculations!C115/60/8.32</f>
        <v>#REF!</v>
      </c>
      <c r="E85" t="s">
        <v>252</v>
      </c>
      <c r="F85" t="s">
        <v>253</v>
      </c>
    </row>
    <row r="86" spans="1:6">
      <c r="C86" s="10" t="s">
        <v>254</v>
      </c>
      <c r="D86" s="9">
        <v>1.35</v>
      </c>
      <c r="E86" t="s">
        <v>255</v>
      </c>
    </row>
    <row r="87" spans="1:6">
      <c r="C87" s="10" t="s">
        <v>256</v>
      </c>
      <c r="D87" s="9">
        <v>46.550000000000004</v>
      </c>
      <c r="E87" t="s">
        <v>257</v>
      </c>
      <c r="F87" t="s">
        <v>258</v>
      </c>
    </row>
    <row r="88" spans="1:6">
      <c r="C88" s="10" t="s">
        <v>259</v>
      </c>
      <c r="D88" s="12" t="e">
        <f>D85*D87^0.5</f>
        <v>#REF!</v>
      </c>
      <c r="F88" t="s">
        <v>260</v>
      </c>
    </row>
    <row r="89" spans="1:6">
      <c r="C89" s="10" t="s">
        <v>261</v>
      </c>
      <c r="D89" s="12" t="e">
        <f>C5/500*EXP(9.7171-0.6019*LN(D88)+0.0519*LN(D88)^2)*D86</f>
        <v>#REF!</v>
      </c>
      <c r="E89" t="s">
        <v>200</v>
      </c>
      <c r="F89" t="s">
        <v>262</v>
      </c>
    </row>
    <row r="90" spans="1:6">
      <c r="C90" s="10" t="s">
        <v>263</v>
      </c>
      <c r="D90" s="12" t="e">
        <f>C5/500*EXP(5.8259+0.13141*LN(D84)+0.053255*LN(D84)^2+0.028628*LN(D84)^3-0.0035549*LN(D84)^4)</f>
        <v>#REF!</v>
      </c>
      <c r="E90" t="s">
        <v>200</v>
      </c>
      <c r="F90" t="s">
        <v>264</v>
      </c>
    </row>
    <row r="91" spans="1:6">
      <c r="D91" s="11"/>
    </row>
    <row r="92" spans="1:6">
      <c r="C92" s="10" t="s">
        <v>265</v>
      </c>
      <c r="D92" s="37" t="e">
        <f>(D89+D90)*7</f>
        <v>#REF!</v>
      </c>
      <c r="E92" t="s">
        <v>200</v>
      </c>
    </row>
    <row r="94" spans="1:6">
      <c r="A94" s="15" t="s">
        <v>271</v>
      </c>
    </row>
    <row r="96" spans="1:6">
      <c r="C96" s="10" t="s">
        <v>272</v>
      </c>
      <c r="D96" s="9">
        <v>700</v>
      </c>
      <c r="E96" t="s">
        <v>273</v>
      </c>
    </row>
    <row r="97" spans="1:5">
      <c r="C97" t="s">
        <v>274</v>
      </c>
      <c r="D97" s="12" t="e">
        <f>Calculations!C53*2*D96</f>
        <v>#REF!</v>
      </c>
      <c r="E97" t="s">
        <v>200</v>
      </c>
    </row>
    <row r="98" spans="1:5">
      <c r="D98" s="11"/>
    </row>
    <row r="99" spans="1:5">
      <c r="A99" s="15" t="s">
        <v>278</v>
      </c>
      <c r="D99" s="11"/>
    </row>
    <row r="100" spans="1:5">
      <c r="D100" s="11"/>
    </row>
    <row r="101" spans="1:5">
      <c r="C101" s="10" t="s">
        <v>276</v>
      </c>
      <c r="D101" s="12" t="e">
        <f>D34+D53+D74+E74+D92+D82+D97</f>
        <v>#REF!</v>
      </c>
      <c r="E101" t="s">
        <v>200</v>
      </c>
    </row>
    <row r="102" spans="1:5">
      <c r="C102" s="10" t="s">
        <v>277</v>
      </c>
      <c r="D102" s="12" t="e">
        <f>D101*C6</f>
        <v>#REF!</v>
      </c>
      <c r="E102" t="s">
        <v>200</v>
      </c>
    </row>
    <row r="103" spans="1:5">
      <c r="C103" s="10" t="s">
        <v>275</v>
      </c>
      <c r="D103" s="12" t="e">
        <f>D102*C7</f>
        <v>#REF!</v>
      </c>
      <c r="E103" t="s">
        <v>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J47"/>
  <sheetViews>
    <sheetView topLeftCell="A22" zoomScale="90" zoomScaleNormal="90" workbookViewId="0">
      <selection activeCell="C37" sqref="C37"/>
    </sheetView>
  </sheetViews>
  <sheetFormatPr defaultRowHeight="15"/>
  <cols>
    <col min="1" max="1" width="29.140625" customWidth="1"/>
    <col min="2" max="11" width="15.7109375" customWidth="1"/>
  </cols>
  <sheetData>
    <row r="1" spans="1:10">
      <c r="A1" s="40"/>
      <c r="B1" s="40"/>
      <c r="C1" s="40"/>
      <c r="D1" s="40"/>
      <c r="E1" s="40"/>
      <c r="F1" s="40"/>
      <c r="G1" s="40"/>
      <c r="H1" s="40"/>
      <c r="I1" s="40"/>
      <c r="J1" s="40"/>
    </row>
    <row r="2" spans="1:10">
      <c r="A2" s="40"/>
      <c r="B2" s="40"/>
      <c r="C2" s="40"/>
      <c r="D2" s="40"/>
      <c r="E2" s="40"/>
      <c r="F2" s="40"/>
      <c r="G2" s="40"/>
      <c r="H2" s="40"/>
      <c r="I2" s="40"/>
      <c r="J2" s="40"/>
    </row>
    <row r="3" spans="1:10">
      <c r="A3" s="41" t="s">
        <v>279</v>
      </c>
      <c r="B3" s="42">
        <v>1.05</v>
      </c>
      <c r="C3" s="43"/>
      <c r="D3" s="44"/>
      <c r="E3" s="44"/>
      <c r="F3" s="44"/>
      <c r="G3" s="45"/>
      <c r="H3" s="40"/>
      <c r="I3" s="40"/>
      <c r="J3" s="40"/>
    </row>
    <row r="4" spans="1:10">
      <c r="A4" s="41" t="s">
        <v>201</v>
      </c>
      <c r="B4" s="42">
        <v>5.04</v>
      </c>
      <c r="C4" s="43"/>
      <c r="D4" s="45"/>
      <c r="E4" s="45"/>
      <c r="F4" s="45"/>
      <c r="G4" s="45"/>
      <c r="H4" s="40"/>
      <c r="I4" s="40"/>
      <c r="J4" s="40"/>
    </row>
    <row r="5" spans="1:10">
      <c r="A5" s="41" t="s">
        <v>280</v>
      </c>
      <c r="B5" s="46">
        <v>2.5421561063709843E-3</v>
      </c>
      <c r="C5" s="43" t="s">
        <v>319</v>
      </c>
      <c r="D5" s="45"/>
      <c r="E5" s="45"/>
      <c r="F5" s="45"/>
      <c r="G5" s="45"/>
      <c r="H5" s="40"/>
      <c r="I5" s="40"/>
      <c r="J5" s="40"/>
    </row>
    <row r="6" spans="1:10">
      <c r="A6" s="41" t="s">
        <v>329</v>
      </c>
      <c r="B6" s="137">
        <v>1.08</v>
      </c>
      <c r="C6" s="43" t="s">
        <v>330</v>
      </c>
      <c r="D6" s="45"/>
      <c r="E6" s="45"/>
      <c r="F6" s="45"/>
      <c r="G6" s="45"/>
      <c r="H6" s="40"/>
      <c r="I6" s="40"/>
      <c r="J6" s="40"/>
    </row>
    <row r="7" spans="1:10">
      <c r="A7" s="44"/>
      <c r="B7" s="44"/>
      <c r="C7" s="45"/>
      <c r="D7" s="45"/>
      <c r="E7" s="45"/>
      <c r="F7" s="45"/>
      <c r="G7" s="47"/>
      <c r="H7" s="48"/>
      <c r="I7" s="48"/>
      <c r="J7" s="48"/>
    </row>
    <row r="8" spans="1:10">
      <c r="A8" s="49" t="s">
        <v>281</v>
      </c>
      <c r="B8" s="50"/>
      <c r="C8" s="50"/>
      <c r="D8" s="50"/>
      <c r="E8" s="50"/>
      <c r="F8" s="50"/>
      <c r="G8" s="50"/>
      <c r="H8" s="51"/>
      <c r="I8" s="52"/>
      <c r="J8" s="53"/>
    </row>
    <row r="9" spans="1:10">
      <c r="A9" s="54"/>
      <c r="B9" s="52"/>
      <c r="C9" s="52"/>
      <c r="D9" s="52"/>
      <c r="E9" s="52"/>
      <c r="F9" s="52"/>
      <c r="G9" s="52"/>
      <c r="H9" s="52"/>
      <c r="I9" s="52"/>
      <c r="J9" s="53"/>
    </row>
    <row r="10" spans="1:10">
      <c r="A10" s="55" t="s">
        <v>282</v>
      </c>
      <c r="B10" s="56"/>
      <c r="C10" s="56">
        <v>0.85</v>
      </c>
      <c r="D10" s="57"/>
      <c r="E10" s="56"/>
      <c r="F10" s="56"/>
      <c r="G10" s="58"/>
      <c r="H10" s="59"/>
      <c r="I10" s="59"/>
      <c r="J10" s="45"/>
    </row>
    <row r="11" spans="1:10">
      <c r="A11" s="55" t="s">
        <v>322</v>
      </c>
      <c r="B11" s="57">
        <v>650</v>
      </c>
      <c r="C11" s="136">
        <f>650/550</f>
        <v>1.1818181818181819</v>
      </c>
      <c r="D11" s="60"/>
      <c r="E11" s="56"/>
      <c r="F11" s="56"/>
      <c r="G11" s="58"/>
      <c r="H11" s="59"/>
      <c r="I11" s="59"/>
      <c r="J11" s="45"/>
    </row>
    <row r="12" spans="1:10">
      <c r="A12" s="56"/>
      <c r="B12" s="56"/>
      <c r="C12" s="56"/>
      <c r="D12" s="57"/>
      <c r="E12" s="56"/>
      <c r="F12" s="56"/>
      <c r="G12" s="56"/>
      <c r="H12" s="59"/>
      <c r="I12" s="59"/>
      <c r="J12" s="45"/>
    </row>
    <row r="13" spans="1:10">
      <c r="A13" s="61" t="s">
        <v>283</v>
      </c>
      <c r="B13" s="62"/>
      <c r="C13" s="63" t="s">
        <v>284</v>
      </c>
      <c r="D13" s="63"/>
      <c r="E13" s="63"/>
      <c r="F13" s="62"/>
      <c r="G13" s="64"/>
      <c r="H13" s="59"/>
      <c r="I13" s="59"/>
      <c r="J13" s="45"/>
    </row>
    <row r="14" spans="1:10">
      <c r="A14" s="55" t="s">
        <v>323</v>
      </c>
      <c r="B14" s="56"/>
      <c r="C14" s="56">
        <v>0.124</v>
      </c>
      <c r="D14" s="56"/>
      <c r="E14" s="56"/>
      <c r="F14" s="56"/>
      <c r="G14" s="58"/>
      <c r="H14" s="59"/>
      <c r="I14" s="59"/>
      <c r="J14" s="45"/>
    </row>
    <row r="15" spans="1:10">
      <c r="A15" s="59"/>
      <c r="B15" s="59"/>
      <c r="C15" s="59"/>
      <c r="D15" s="65"/>
      <c r="E15" s="59"/>
      <c r="F15" s="66"/>
      <c r="G15" s="59"/>
      <c r="H15" s="59"/>
      <c r="I15" s="59"/>
      <c r="J15" s="45"/>
    </row>
    <row r="16" spans="1:10">
      <c r="A16" s="61" t="s">
        <v>285</v>
      </c>
      <c r="B16" s="62"/>
      <c r="C16" s="63" t="s">
        <v>200</v>
      </c>
      <c r="D16" s="67" t="s">
        <v>286</v>
      </c>
      <c r="E16" s="68" t="s">
        <v>287</v>
      </c>
      <c r="F16" s="69"/>
      <c r="G16" s="70"/>
      <c r="H16" s="59"/>
      <c r="I16" s="59"/>
      <c r="J16" s="45"/>
    </row>
    <row r="17" spans="1:10">
      <c r="A17" s="71" t="s">
        <v>288</v>
      </c>
      <c r="B17" s="59"/>
      <c r="C17" s="72">
        <v>1316192090.909091</v>
      </c>
      <c r="D17" s="65" t="s">
        <v>289</v>
      </c>
      <c r="E17" s="73" t="s">
        <v>326</v>
      </c>
      <c r="F17" s="59"/>
      <c r="G17" s="74"/>
      <c r="H17" s="59"/>
      <c r="I17" s="59"/>
      <c r="J17" s="76"/>
    </row>
    <row r="18" spans="1:10">
      <c r="A18" s="71" t="s">
        <v>290</v>
      </c>
      <c r="B18" s="59"/>
      <c r="C18" s="72" t="e">
        <f>('Capital Cost'!D101-'Capital Cost'!D97)*B3*B4</f>
        <v>#REF!</v>
      </c>
      <c r="D18" s="65" t="s">
        <v>289</v>
      </c>
      <c r="E18" s="75"/>
      <c r="F18" s="59"/>
      <c r="G18" s="74"/>
      <c r="H18" s="77"/>
      <c r="I18" s="59"/>
      <c r="J18" s="78"/>
    </row>
    <row r="19" spans="1:10">
      <c r="A19" s="71" t="s">
        <v>320</v>
      </c>
      <c r="B19" s="59"/>
      <c r="C19" s="72" t="e">
        <f>'Capital Cost'!D97*B4*B3</f>
        <v>#REF!</v>
      </c>
      <c r="D19" s="65" t="s">
        <v>289</v>
      </c>
      <c r="E19" s="75"/>
      <c r="F19" s="59"/>
      <c r="G19" s="74"/>
      <c r="H19" s="59"/>
      <c r="I19" s="59"/>
      <c r="J19" s="78"/>
    </row>
    <row r="20" spans="1:10">
      <c r="A20" s="79" t="s">
        <v>291</v>
      </c>
      <c r="B20" s="80"/>
      <c r="C20" s="81" t="e">
        <f>2113039.31562025/1031092*Calculations!H19</f>
        <v>#REF!</v>
      </c>
      <c r="D20" s="82" t="s">
        <v>289</v>
      </c>
      <c r="E20" s="75" t="s">
        <v>292</v>
      </c>
      <c r="F20" s="80"/>
      <c r="G20" s="83"/>
      <c r="H20" s="77"/>
      <c r="I20" s="59"/>
      <c r="J20" s="84"/>
    </row>
    <row r="21" spans="1:10">
      <c r="A21" s="55" t="s">
        <v>293</v>
      </c>
      <c r="B21" s="56"/>
      <c r="C21" s="85" t="e">
        <f>SUM(C17:C20)</f>
        <v>#REF!</v>
      </c>
      <c r="D21" s="57" t="s">
        <v>289</v>
      </c>
      <c r="E21" s="56"/>
      <c r="F21" s="56"/>
      <c r="G21" s="58"/>
      <c r="H21" s="59"/>
      <c r="I21" s="59"/>
      <c r="J21" s="78"/>
    </row>
    <row r="22" spans="1:10">
      <c r="A22" s="59"/>
      <c r="B22" s="59"/>
      <c r="C22" s="59"/>
      <c r="D22" s="65"/>
      <c r="E22" s="59"/>
      <c r="F22" s="72"/>
      <c r="G22" s="59"/>
      <c r="H22" s="59"/>
      <c r="I22" s="40"/>
      <c r="J22" s="40"/>
    </row>
    <row r="23" spans="1:10">
      <c r="A23" s="61" t="s">
        <v>294</v>
      </c>
      <c r="B23" s="62"/>
      <c r="C23" s="63" t="s">
        <v>295</v>
      </c>
      <c r="D23" s="67" t="s">
        <v>286</v>
      </c>
      <c r="E23" s="68" t="s">
        <v>287</v>
      </c>
      <c r="F23" s="86"/>
      <c r="G23" s="64"/>
      <c r="H23" s="59"/>
      <c r="I23" s="40"/>
      <c r="J23" s="40"/>
    </row>
    <row r="24" spans="1:10">
      <c r="A24" s="87" t="s">
        <v>296</v>
      </c>
      <c r="B24" s="88"/>
      <c r="C24" s="89">
        <v>38723777.828169316</v>
      </c>
      <c r="D24" s="90" t="s">
        <v>289</v>
      </c>
      <c r="E24" s="73" t="s">
        <v>325</v>
      </c>
      <c r="F24" s="91"/>
      <c r="G24" s="92"/>
      <c r="H24" s="65"/>
      <c r="I24" s="40"/>
      <c r="J24" s="40"/>
    </row>
    <row r="25" spans="1:10">
      <c r="A25" s="71" t="s">
        <v>297</v>
      </c>
      <c r="B25" s="80"/>
      <c r="C25" s="81">
        <v>54350674.559773684</v>
      </c>
      <c r="D25" s="82" t="s">
        <v>289</v>
      </c>
      <c r="E25" s="93" t="s">
        <v>324</v>
      </c>
      <c r="F25" s="80"/>
      <c r="G25" s="74"/>
      <c r="H25" s="59"/>
      <c r="I25" s="40"/>
      <c r="J25" s="40"/>
    </row>
    <row r="26" spans="1:10">
      <c r="A26" s="87" t="s">
        <v>298</v>
      </c>
      <c r="B26" s="73"/>
      <c r="C26" s="94" t="e">
        <f>C21*0.0080020749</f>
        <v>#REF!</v>
      </c>
      <c r="D26" s="95" t="s">
        <v>289</v>
      </c>
      <c r="E26" s="73" t="s">
        <v>327</v>
      </c>
      <c r="F26" s="73"/>
      <c r="G26" s="96"/>
      <c r="H26" s="59"/>
      <c r="I26" s="40"/>
      <c r="J26" s="40"/>
    </row>
    <row r="27" spans="1:10">
      <c r="A27" s="97" t="s">
        <v>328</v>
      </c>
      <c r="B27" s="75"/>
      <c r="C27" s="98" t="e">
        <f>Calculations!H61*C10/8320*C11*24*365</f>
        <v>#REF!</v>
      </c>
      <c r="D27" s="99" t="s">
        <v>289</v>
      </c>
      <c r="E27" s="75"/>
      <c r="F27" s="75"/>
      <c r="G27" s="100"/>
      <c r="H27" s="77"/>
      <c r="I27" s="40"/>
      <c r="J27" s="40"/>
    </row>
    <row r="28" spans="1:10">
      <c r="A28" s="97" t="s">
        <v>300</v>
      </c>
      <c r="B28" s="75"/>
      <c r="C28" s="98">
        <v>8736858.6118018441</v>
      </c>
      <c r="D28" s="99" t="s">
        <v>289</v>
      </c>
      <c r="E28" s="75" t="s">
        <v>325</v>
      </c>
      <c r="F28" s="75"/>
      <c r="G28" s="100"/>
      <c r="H28" s="77"/>
      <c r="I28" s="40"/>
      <c r="J28" s="40"/>
    </row>
    <row r="29" spans="1:10">
      <c r="A29" s="97" t="s">
        <v>301</v>
      </c>
      <c r="B29" s="75"/>
      <c r="C29" s="98" t="e">
        <f>2436020.83798279/1031092*Calculations!H19</f>
        <v>#REF!</v>
      </c>
      <c r="D29" s="99" t="s">
        <v>289</v>
      </c>
      <c r="E29" s="75" t="s">
        <v>292</v>
      </c>
      <c r="F29" s="75"/>
      <c r="G29" s="100"/>
      <c r="H29" s="77"/>
      <c r="I29" s="40"/>
      <c r="J29" s="40"/>
    </row>
    <row r="30" spans="1:10">
      <c r="A30" s="97" t="s">
        <v>302</v>
      </c>
      <c r="B30" s="75"/>
      <c r="C30" s="98">
        <v>780478.51976591942</v>
      </c>
      <c r="D30" s="99" t="s">
        <v>289</v>
      </c>
      <c r="E30" s="75" t="s">
        <v>325</v>
      </c>
      <c r="F30" s="75"/>
      <c r="G30" s="100"/>
      <c r="H30" s="59"/>
      <c r="I30" s="40"/>
      <c r="J30" s="40"/>
    </row>
    <row r="31" spans="1:10">
      <c r="A31" s="101" t="s">
        <v>303</v>
      </c>
      <c r="B31" s="102"/>
      <c r="C31" s="103">
        <v>3461951.9804222253</v>
      </c>
      <c r="D31" s="104" t="s">
        <v>289</v>
      </c>
      <c r="E31" s="102" t="s">
        <v>325</v>
      </c>
      <c r="F31" s="102"/>
      <c r="G31" s="105"/>
      <c r="H31" s="59"/>
      <c r="I31" s="40"/>
      <c r="J31" s="40"/>
    </row>
    <row r="32" spans="1:10">
      <c r="A32" s="71" t="s">
        <v>304</v>
      </c>
      <c r="B32" s="59"/>
      <c r="C32" s="72" t="e">
        <f>SUM(C26:C31)</f>
        <v>#REF!</v>
      </c>
      <c r="D32" s="65" t="s">
        <v>289</v>
      </c>
      <c r="E32" s="75"/>
      <c r="F32" s="59"/>
      <c r="G32" s="74"/>
      <c r="H32" s="59"/>
      <c r="I32" s="40"/>
      <c r="J32" s="40"/>
    </row>
    <row r="33" spans="1:10">
      <c r="A33" s="79" t="s">
        <v>305</v>
      </c>
      <c r="B33" s="80"/>
      <c r="C33" s="81">
        <v>70082497.155403912</v>
      </c>
      <c r="D33" s="82" t="s">
        <v>289</v>
      </c>
      <c r="E33" s="93" t="s">
        <v>325</v>
      </c>
      <c r="F33" s="80"/>
      <c r="G33" s="83"/>
      <c r="H33" s="59"/>
      <c r="I33" s="40"/>
      <c r="J33" s="40"/>
    </row>
    <row r="34" spans="1:10">
      <c r="A34" s="59"/>
      <c r="B34" s="59"/>
      <c r="C34" s="59"/>
      <c r="D34" s="65"/>
      <c r="E34" s="75"/>
      <c r="F34" s="59"/>
      <c r="G34" s="59"/>
      <c r="H34" s="59"/>
      <c r="I34" s="40"/>
      <c r="J34" s="40"/>
    </row>
    <row r="35" spans="1:10">
      <c r="A35" s="106" t="s">
        <v>306</v>
      </c>
      <c r="B35" s="107"/>
      <c r="C35" s="107">
        <v>650</v>
      </c>
      <c r="D35" s="108" t="s">
        <v>49</v>
      </c>
      <c r="E35" s="73" t="s">
        <v>337</v>
      </c>
      <c r="F35" s="107"/>
      <c r="G35" s="109"/>
      <c r="H35" s="59"/>
      <c r="I35" s="40"/>
      <c r="J35" s="40"/>
    </row>
    <row r="36" spans="1:10">
      <c r="A36" s="71" t="s">
        <v>307</v>
      </c>
      <c r="B36" s="59"/>
      <c r="C36" s="110" t="e">
        <f>Calculations!H42</f>
        <v>#REF!</v>
      </c>
      <c r="D36" s="65" t="s">
        <v>49</v>
      </c>
      <c r="E36" s="75" t="s">
        <v>337</v>
      </c>
      <c r="F36" s="59"/>
      <c r="G36" s="74"/>
      <c r="H36" s="59"/>
      <c r="I36" s="40"/>
      <c r="J36" s="40"/>
    </row>
    <row r="37" spans="1:10">
      <c r="A37" s="97" t="s">
        <v>321</v>
      </c>
      <c r="B37" s="75"/>
      <c r="C37" s="111" t="e">
        <f>Calculations!H36</f>
        <v>#REF!</v>
      </c>
      <c r="D37" s="99" t="s">
        <v>49</v>
      </c>
      <c r="E37" s="112" t="s">
        <v>308</v>
      </c>
      <c r="F37" s="75"/>
      <c r="G37" s="100"/>
      <c r="H37" s="113"/>
      <c r="I37" s="40"/>
      <c r="J37" s="40"/>
    </row>
    <row r="38" spans="1:10">
      <c r="A38" s="97" t="s">
        <v>309</v>
      </c>
      <c r="B38" s="75"/>
      <c r="C38" s="111" t="e">
        <f>Calculations!H37</f>
        <v>#REF!</v>
      </c>
      <c r="D38" s="99" t="s">
        <v>49</v>
      </c>
      <c r="E38" s="114" t="s">
        <v>299</v>
      </c>
      <c r="F38" s="75"/>
      <c r="G38" s="100"/>
      <c r="H38" s="115"/>
      <c r="I38" s="40"/>
      <c r="J38" s="40"/>
    </row>
    <row r="39" spans="1:10">
      <c r="A39" s="116" t="s">
        <v>310</v>
      </c>
      <c r="B39" s="93"/>
      <c r="C39" s="117" t="e">
        <f>650 -Calculations!H28</f>
        <v>#REF!</v>
      </c>
      <c r="D39" s="118" t="s">
        <v>49</v>
      </c>
      <c r="E39" s="93" t="s">
        <v>311</v>
      </c>
      <c r="F39" s="93"/>
      <c r="G39" s="119"/>
      <c r="H39" s="59"/>
      <c r="I39" s="40"/>
      <c r="J39" s="40"/>
    </row>
    <row r="40" spans="1:10">
      <c r="A40" s="120" t="s">
        <v>312</v>
      </c>
      <c r="B40" s="121"/>
      <c r="C40" s="122" t="e">
        <f>B5*Calculations!H19/C36</f>
        <v>#REF!</v>
      </c>
      <c r="D40" s="123">
        <v>2007</v>
      </c>
      <c r="E40" s="75"/>
      <c r="F40" s="121"/>
      <c r="G40" s="124"/>
      <c r="H40" s="59"/>
      <c r="I40" s="40"/>
      <c r="J40" s="40"/>
    </row>
    <row r="41" spans="1:10">
      <c r="A41" s="106" t="s">
        <v>313</v>
      </c>
      <c r="B41" s="107"/>
      <c r="C41" s="125">
        <v>59.096415560190955</v>
      </c>
      <c r="D41" s="108">
        <v>2007</v>
      </c>
      <c r="E41" s="73"/>
      <c r="F41" s="126"/>
      <c r="G41" s="109"/>
      <c r="H41" s="127"/>
      <c r="I41" s="128"/>
      <c r="J41" s="45"/>
    </row>
    <row r="42" spans="1:10">
      <c r="A42" s="71" t="s">
        <v>334</v>
      </c>
      <c r="B42" s="59"/>
      <c r="C42" s="138" t="e">
        <f>C43-C40</f>
        <v>#REF!</v>
      </c>
      <c r="D42" s="65"/>
      <c r="E42" s="75"/>
      <c r="F42" s="139"/>
      <c r="G42" s="74"/>
      <c r="H42" s="127"/>
      <c r="I42" s="128"/>
      <c r="J42" s="45"/>
    </row>
    <row r="43" spans="1:10">
      <c r="A43" s="79" t="s">
        <v>314</v>
      </c>
      <c r="B43" s="80"/>
      <c r="C43" s="129" t="e">
        <f>(C21*C14+C32+C33+C25)/(C36*365*24*C10)+C40</f>
        <v>#REF!</v>
      </c>
      <c r="D43" s="82">
        <v>2007</v>
      </c>
      <c r="E43" s="117" t="e">
        <f>(C43-C41)/C41*100</f>
        <v>#REF!</v>
      </c>
      <c r="F43" s="93" t="s">
        <v>315</v>
      </c>
      <c r="G43" s="83"/>
      <c r="H43" s="59"/>
      <c r="I43" s="130"/>
      <c r="J43" s="131"/>
    </row>
    <row r="44" spans="1:10">
      <c r="A44" s="132"/>
      <c r="B44" s="132"/>
      <c r="C44" s="132"/>
      <c r="D44" s="132"/>
      <c r="E44" s="132"/>
      <c r="F44" s="132"/>
      <c r="G44" s="132"/>
      <c r="H44" s="132"/>
      <c r="I44" s="130"/>
      <c r="J44" s="131"/>
    </row>
    <row r="45" spans="1:10">
      <c r="A45" s="59" t="s">
        <v>316</v>
      </c>
      <c r="B45" s="132"/>
      <c r="C45" s="132"/>
      <c r="D45" s="132"/>
      <c r="E45" s="132"/>
      <c r="F45" s="132"/>
      <c r="G45" s="132"/>
      <c r="H45" s="132"/>
      <c r="I45" s="130"/>
      <c r="J45" s="131"/>
    </row>
    <row r="46" spans="1:10">
      <c r="A46" s="133" t="s">
        <v>317</v>
      </c>
      <c r="B46" s="59"/>
      <c r="C46" s="59"/>
      <c r="D46" s="59"/>
      <c r="E46" s="59"/>
      <c r="F46" s="59"/>
      <c r="G46" s="59"/>
      <c r="H46" s="59"/>
      <c r="I46" s="130"/>
      <c r="J46" s="131"/>
    </row>
    <row r="47" spans="1:10">
      <c r="A47" s="132" t="s">
        <v>318</v>
      </c>
      <c r="B47" s="59"/>
      <c r="C47" s="134"/>
      <c r="D47" s="59"/>
      <c r="E47" s="59"/>
      <c r="F47" s="59"/>
      <c r="G47" s="59"/>
      <c r="H47" s="59"/>
      <c r="I47" s="130"/>
      <c r="J47" s="13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B4:H7"/>
  <sheetViews>
    <sheetView workbookViewId="0">
      <selection activeCell="A6" sqref="A6:D6"/>
    </sheetView>
  </sheetViews>
  <sheetFormatPr defaultRowHeight="15"/>
  <cols>
    <col min="1" max="17" width="15.7109375" customWidth="1"/>
  </cols>
  <sheetData>
    <row r="4" spans="2:8">
      <c r="C4" t="s">
        <v>76</v>
      </c>
      <c r="D4" t="s">
        <v>77</v>
      </c>
      <c r="E4" t="s">
        <v>78</v>
      </c>
      <c r="F4">
        <v>1</v>
      </c>
      <c r="G4">
        <v>2</v>
      </c>
      <c r="H4">
        <v>3</v>
      </c>
    </row>
    <row r="5" spans="2:8">
      <c r="B5" s="10"/>
      <c r="C5" s="10" t="s">
        <v>83</v>
      </c>
      <c r="D5" s="23" t="s">
        <v>84</v>
      </c>
      <c r="E5" s="10" t="s">
        <v>25</v>
      </c>
      <c r="F5" s="10">
        <v>0.26500000000000001</v>
      </c>
      <c r="G5" s="10">
        <v>0.26600000000000001</v>
      </c>
      <c r="H5" s="10">
        <v>0.26700000000000002</v>
      </c>
    </row>
    <row r="6" spans="2:8">
      <c r="C6" s="10" t="s">
        <v>79</v>
      </c>
      <c r="D6" s="23" t="s">
        <v>80</v>
      </c>
      <c r="E6" s="10" t="s">
        <v>29</v>
      </c>
    </row>
    <row r="7" spans="2:8">
      <c r="C7" s="10" t="s">
        <v>81</v>
      </c>
      <c r="D7" s="23" t="s">
        <v>82</v>
      </c>
      <c r="E7" s="10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Layout</vt:lpstr>
      <vt:lpstr>Calculations</vt:lpstr>
      <vt:lpstr>Capital Cost</vt:lpstr>
      <vt:lpstr>COE</vt:lpstr>
      <vt:lpstr>Series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jeslick</dc:creator>
  <cp:lastModifiedBy>Jim Leek</cp:lastModifiedBy>
  <dcterms:created xsi:type="dcterms:W3CDTF">2012-04-30T16:38:58Z</dcterms:created>
  <dcterms:modified xsi:type="dcterms:W3CDTF">2012-05-14T21:26:59Z</dcterms:modified>
</cp:coreProperties>
</file>