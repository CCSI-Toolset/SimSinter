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4400" yWindow="-15" windowWidth="14445" windowHeight="14730" activeTab="1"/>
  </bookViews>
  <sheets>
    <sheet name="Input" sheetId="7" r:id="rId1"/>
    <sheet name="Sim" sheetId="1" r:id="rId2"/>
    <sheet name="Calculations" sheetId="3" r:id="rId3"/>
    <sheet name="Costs" sheetId="8" r:id="rId4"/>
    <sheet name="Components" sheetId="4" r:id="rId5"/>
    <sheet name="Series Input" sheetId="9" r:id="rId6"/>
    <sheet name="Series Output" sheetId="10" r:id="rId7"/>
  </sheets>
  <definedNames>
    <definedName name="abs_1_fracc">Sim!$H$15</definedName>
    <definedName name="abs_2_fracc">Sim!$H$16</definedName>
    <definedName name="abs_co2_profile">Sim!$C$121</definedName>
    <definedName name="abs_dia">Sim!$H$17</definedName>
    <definedName name="abs_ht_mid">Sim!$C$16</definedName>
    <definedName name="abs_ht_wash">Sim!$C$15</definedName>
    <definedName name="abs_ic_dT">Sim!$C$17</definedName>
    <definedName name="abs_ic_duty">Sim!$H$14</definedName>
    <definedName name="abs_profile">Sim!$C$48</definedName>
    <definedName name="abs_wt">Costs!$D$25</definedName>
    <definedName name="cond_duty_regen">Sim!$H$22</definedName>
    <definedName name="cond_T_regen">Sim!$C$21</definedName>
    <definedName name="cond_T_regen_o">Sim!$H$20</definedName>
    <definedName name="cost_ce">Costs!$C$7</definedName>
    <definedName name="eq_par">Sim!$C$181</definedName>
    <definedName name="f_col_mat">Costs!$D$13</definedName>
    <definedName name="ht_regen">Sim!$C$22</definedName>
    <definedName name="input_s">Sim!$C$30</definedName>
    <definedName name="lean_load">Sim!$C$19</definedName>
    <definedName name="lr_hx_Q">Sim!$H$25</definedName>
    <definedName name="lr_rich_T">Sim!$C$24</definedName>
    <definedName name="mole_flow">Sim!$C$108</definedName>
    <definedName name="output_s">Sim!$C$35</definedName>
    <definedName name="P_abs_top">Sim!$C$14</definedName>
    <definedName name="P_regen_top">Sim!$C$20</definedName>
    <definedName name="P_sol_pump">Sim!$C$18</definedName>
    <definedName name="rblr_duty_regen">Sim!$H$21</definedName>
    <definedName name="rblr_T_regen_o">Sim!$H$19</definedName>
    <definedName name="reg_co2_profile">Sim!$C$157</definedName>
    <definedName name="reg_wt">Costs!$D$36</definedName>
    <definedName name="regen_dia">Sim!$H$27</definedName>
    <definedName name="regen_fracc">Sim!$H$26</definedName>
    <definedName name="regen_profile">Sim!$C$84</definedName>
    <definedName name="rich_T_regen">Sim!$H$23</definedName>
    <definedName name="slv_cool_01">Sim!$C$23</definedName>
    <definedName name="sol_pump_pow">Sim!$H$18</definedName>
    <definedName name="solvent_cl_duty">Sim!$H$24</definedName>
  </definedNames>
  <calcPr calcId="125725"/>
</workbook>
</file>

<file path=xl/calcChain.xml><?xml version="1.0" encoding="utf-8"?>
<calcChain xmlns="http://schemas.openxmlformats.org/spreadsheetml/2006/main">
  <c r="D8" i="3"/>
  <c r="R30" i="1" l="1"/>
  <c r="I30"/>
  <c r="F30"/>
  <c r="E32"/>
  <c r="E30"/>
  <c r="C24"/>
  <c r="C23"/>
  <c r="C22"/>
  <c r="C21"/>
  <c r="C20"/>
  <c r="C19"/>
  <c r="C15"/>
  <c r="C17"/>
  <c r="D5" i="3" l="1"/>
  <c r="D19"/>
  <c r="D18"/>
  <c r="D97" i="8"/>
  <c r="D94"/>
  <c r="D93"/>
  <c r="D96"/>
  <c r="D95"/>
  <c r="D98" s="1"/>
  <c r="D87"/>
  <c r="D84"/>
  <c r="D83"/>
  <c r="D77"/>
  <c r="D74"/>
  <c r="D73"/>
  <c r="D67"/>
  <c r="D66"/>
  <c r="D65"/>
  <c r="D64"/>
  <c r="D63"/>
  <c r="D86"/>
  <c r="D85"/>
  <c r="D99" l="1"/>
  <c r="D100" s="1"/>
  <c r="D88"/>
  <c r="D89" s="1"/>
  <c r="D90" s="1"/>
  <c r="D76" l="1"/>
  <c r="D75"/>
  <c r="D56"/>
  <c r="D55"/>
  <c r="D112"/>
  <c r="D109"/>
  <c r="D110" s="1"/>
  <c r="D111" s="1"/>
  <c r="D114" l="1"/>
  <c r="D78"/>
  <c r="D79" s="1"/>
  <c r="D80" s="1"/>
  <c r="D57"/>
  <c r="D53"/>
  <c r="D33"/>
  <c r="D35" s="1"/>
  <c r="D32"/>
  <c r="D39" s="1"/>
  <c r="D54" l="1"/>
  <c r="D58" s="1"/>
  <c r="D34"/>
  <c r="D38" s="1"/>
  <c r="D36"/>
  <c r="D37" s="1"/>
  <c r="D59" l="1"/>
  <c r="D40"/>
  <c r="D9" i="3"/>
  <c r="O8"/>
  <c r="N9" s="1"/>
  <c r="O9"/>
  <c r="N10"/>
  <c r="O10"/>
  <c r="N11" s="1"/>
  <c r="O11"/>
  <c r="N12"/>
  <c r="O12"/>
  <c r="N13" s="1"/>
  <c r="O13"/>
  <c r="N14"/>
  <c r="O14"/>
  <c r="N15" s="1"/>
  <c r="O15"/>
  <c r="N16"/>
  <c r="O16"/>
  <c r="N17" s="1"/>
  <c r="O17"/>
  <c r="N18"/>
  <c r="O18"/>
  <c r="N19" s="1"/>
  <c r="O19"/>
  <c r="N20"/>
  <c r="O20"/>
  <c r="N21" s="1"/>
  <c r="O21"/>
  <c r="N22"/>
  <c r="O22"/>
  <c r="N23" s="1"/>
  <c r="O23"/>
  <c r="N24"/>
  <c r="O24"/>
  <c r="N25" s="1"/>
  <c r="O25"/>
  <c r="O7"/>
  <c r="N8" s="1"/>
  <c r="O6"/>
  <c r="N7" s="1"/>
  <c r="D7"/>
  <c r="E33" i="7"/>
  <c r="C16" i="1" s="1"/>
  <c r="D21" i="8"/>
  <c r="D60" l="1"/>
  <c r="D68"/>
  <c r="D69" s="1"/>
  <c r="D70" s="1"/>
  <c r="P6" i="3"/>
  <c r="P7"/>
  <c r="P8"/>
  <c r="D24" i="8"/>
  <c r="D28" s="1"/>
  <c r="D22"/>
  <c r="E19" i="7"/>
  <c r="E18"/>
  <c r="E20" s="1"/>
  <c r="D102" i="8" l="1"/>
  <c r="D23"/>
  <c r="E22" i="7"/>
  <c r="E31" i="1" s="1"/>
  <c r="E24" i="7" l="1"/>
  <c r="G31" i="1" s="1"/>
  <c r="E26" i="7"/>
  <c r="I31" i="1" s="1"/>
  <c r="E25" i="7"/>
  <c r="F31" i="1" s="1"/>
  <c r="E11" i="7"/>
  <c r="J8" i="3"/>
  <c r="D10" i="4"/>
  <c r="D11"/>
  <c r="J7" i="3" l="1"/>
  <c r="I8" s="1"/>
  <c r="D27" i="8"/>
  <c r="J5" i="3"/>
  <c r="K5" s="1"/>
  <c r="J6"/>
  <c r="I7" s="1"/>
  <c r="K7" s="1"/>
  <c r="K8"/>
  <c r="I9"/>
  <c r="B4" i="1"/>
  <c r="J10" i="3" l="1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9"/>
  <c r="D25" i="8"/>
  <c r="D26" s="1"/>
  <c r="I6" i="3"/>
  <c r="K6" s="1"/>
  <c r="P9" l="1"/>
  <c r="P10"/>
  <c r="P11"/>
  <c r="P12"/>
  <c r="P13"/>
  <c r="P14"/>
  <c r="P15"/>
  <c r="P16"/>
  <c r="P17"/>
  <c r="P18"/>
  <c r="P19"/>
  <c r="P20"/>
  <c r="P21"/>
  <c r="P22"/>
  <c r="P23"/>
  <c r="P24"/>
  <c r="P25"/>
  <c r="K9"/>
  <c r="I10"/>
  <c r="K10" s="1"/>
  <c r="I26"/>
  <c r="K26" s="1"/>
  <c r="I22"/>
  <c r="I18"/>
  <c r="K18" s="1"/>
  <c r="I14"/>
  <c r="I31"/>
  <c r="I33"/>
  <c r="I29"/>
  <c r="I25"/>
  <c r="K25" s="1"/>
  <c r="I21"/>
  <c r="K21" s="1"/>
  <c r="I17"/>
  <c r="K17" s="1"/>
  <c r="I13"/>
  <c r="K13" s="1"/>
  <c r="I28"/>
  <c r="K28" s="1"/>
  <c r="I24"/>
  <c r="K24" s="1"/>
  <c r="I20"/>
  <c r="K20" s="1"/>
  <c r="I16"/>
  <c r="K16" s="1"/>
  <c r="I12"/>
  <c r="K12" s="1"/>
  <c r="I27"/>
  <c r="K27" s="1"/>
  <c r="I23"/>
  <c r="K23" s="1"/>
  <c r="K22"/>
  <c r="I19"/>
  <c r="K19" s="1"/>
  <c r="I15"/>
  <c r="K15" s="1"/>
  <c r="K14"/>
  <c r="I11"/>
  <c r="K11" s="1"/>
  <c r="I38" l="1"/>
  <c r="K38" s="1"/>
  <c r="I37"/>
  <c r="K37" s="1"/>
  <c r="I36"/>
  <c r="K36" s="1"/>
  <c r="I35"/>
  <c r="K35" s="1"/>
  <c r="K33"/>
  <c r="I34"/>
  <c r="K34" s="1"/>
  <c r="I32"/>
  <c r="K32" s="1"/>
  <c r="K31"/>
  <c r="K29"/>
  <c r="I30"/>
  <c r="K30" s="1"/>
  <c r="D29" i="8"/>
  <c r="D118" s="1"/>
  <c r="D119" s="1"/>
  <c r="D123" s="1"/>
</calcChain>
</file>

<file path=xl/sharedStrings.xml><?xml version="1.0" encoding="utf-8"?>
<sst xmlns="http://schemas.openxmlformats.org/spreadsheetml/2006/main" count="536" uniqueCount="387">
  <si>
    <t>Run End Time:</t>
  </si>
  <si>
    <t>Run Start Time:</t>
  </si>
  <si>
    <t>Elapsed (min):</t>
  </si>
  <si>
    <t>Status:</t>
  </si>
  <si>
    <t>Setup File:</t>
  </si>
  <si>
    <t>MEA Carbon Capture Process</t>
  </si>
  <si>
    <t>Description:</t>
  </si>
  <si>
    <t>An Aspen simulation of an MEA process</t>
  </si>
  <si>
    <t>Rev. Date:</t>
  </si>
  <si>
    <t>Directory:</t>
  </si>
  <si>
    <t>Sim. File:</t>
  </si>
  <si>
    <t>T (F)</t>
  </si>
  <si>
    <t>P (psia)</t>
  </si>
  <si>
    <t>m (lb/hr)</t>
  </si>
  <si>
    <t>P_abs_top</t>
  </si>
  <si>
    <t>pressure at the top, stage 1, of the absorber (psia)</t>
  </si>
  <si>
    <t>solvent pump discharge pressure (psia)</t>
  </si>
  <si>
    <t>Flue Gas to Abs</t>
  </si>
  <si>
    <t>Lean Solvent</t>
  </si>
  <si>
    <t>Wash Water MEA rec.</t>
  </si>
  <si>
    <t>x H20 (mass frac)</t>
  </si>
  <si>
    <t>x MEA (mass frac)</t>
  </si>
  <si>
    <t>x H2S mass (frac)</t>
  </si>
  <si>
    <t>x CO2 (mass frac)</t>
  </si>
  <si>
    <t>x HCO3- (mass frac)</t>
  </si>
  <si>
    <t>x MEACOO- (mass frac)</t>
  </si>
  <si>
    <t>x MEA+ (mass frac)</t>
  </si>
  <si>
    <t>x CO3-2 (mass frac)</t>
  </si>
  <si>
    <t>x HS- (mass frac)</t>
  </si>
  <si>
    <t>x S-2 (mass frac)</t>
  </si>
  <si>
    <t>x H3O+ (mass frac)</t>
  </si>
  <si>
    <t>x OH- (mass frac)</t>
  </si>
  <si>
    <t>x N2 (mass frac)</t>
  </si>
  <si>
    <t>FG-01</t>
  </si>
  <si>
    <t>WASH-01</t>
  </si>
  <si>
    <t>FG-02</t>
  </si>
  <si>
    <t>RICH-01</t>
  </si>
  <si>
    <t>RICH-02</t>
  </si>
  <si>
    <t>Title:</t>
  </si>
  <si>
    <t>abs_ic_duty</t>
  </si>
  <si>
    <t>absorber intercooler heat duty (Btu/hr)</t>
  </si>
  <si>
    <t>top</t>
  </si>
  <si>
    <t>Liq T (F)</t>
  </si>
  <si>
    <t>Vap T (F)</t>
  </si>
  <si>
    <t>LEAN-00A</t>
  </si>
  <si>
    <t>MEA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</si>
  <si>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</si>
  <si>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S</t>
    </r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</si>
  <si>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</si>
  <si>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r>
      <t>HCO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</t>
    </r>
  </si>
  <si>
    <r>
      <t>MEACOO</t>
    </r>
    <r>
      <rPr>
        <vertAlign val="superscript"/>
        <sz val="11"/>
        <color theme="1"/>
        <rFont val="Calibri"/>
        <family val="2"/>
        <scheme val="minor"/>
      </rPr>
      <t>-</t>
    </r>
  </si>
  <si>
    <r>
      <t>MEA</t>
    </r>
    <r>
      <rPr>
        <vertAlign val="superscript"/>
        <sz val="11"/>
        <color theme="1"/>
        <rFont val="Calibri"/>
        <family val="2"/>
        <scheme val="minor"/>
      </rPr>
      <t>+</t>
    </r>
  </si>
  <si>
    <r>
      <t>CO</t>
    </r>
    <r>
      <rPr>
        <vertAlign val="subscript"/>
        <sz val="11"/>
        <color theme="1"/>
        <rFont val="Calibri"/>
        <family val="2"/>
        <scheme val="minor"/>
      </rPr>
      <t>3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</si>
  <si>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HS</t>
    </r>
    <r>
      <rPr>
        <vertAlign val="superscript"/>
        <sz val="11"/>
        <color theme="1"/>
        <rFont val="Calibri"/>
        <family val="2"/>
        <scheme val="minor"/>
      </rPr>
      <t>-</t>
    </r>
  </si>
  <si>
    <r>
      <t>S</t>
    </r>
    <r>
      <rPr>
        <vertAlign val="superscript"/>
        <sz val="11"/>
        <color theme="1"/>
        <rFont val="Calibri"/>
        <family val="2"/>
        <scheme val="minor"/>
      </rPr>
      <t>-2</t>
    </r>
  </si>
  <si>
    <r>
      <t>N</t>
    </r>
    <r>
      <rPr>
        <vertAlign val="subscript"/>
        <sz val="11"/>
        <color theme="1"/>
        <rFont val="Calibri"/>
        <family val="2"/>
        <scheme val="minor"/>
      </rPr>
      <t>2</t>
    </r>
  </si>
  <si>
    <r>
      <t>OH</t>
    </r>
    <r>
      <rPr>
        <vertAlign val="superscript"/>
        <sz val="11"/>
        <color theme="1"/>
        <rFont val="Calibri"/>
        <family val="2"/>
        <scheme val="minor"/>
      </rPr>
      <t>-</t>
    </r>
  </si>
  <si>
    <r>
      <t>H3O</t>
    </r>
    <r>
      <rPr>
        <vertAlign val="superscript"/>
        <sz val="11"/>
        <color theme="1"/>
        <rFont val="Calibri"/>
        <family val="2"/>
        <scheme val="minor"/>
      </rPr>
      <t>+</t>
    </r>
  </si>
  <si>
    <t>MW</t>
  </si>
  <si>
    <t>Index</t>
  </si>
  <si>
    <t>Name</t>
  </si>
  <si>
    <t>NA</t>
  </si>
  <si>
    <t>H</t>
  </si>
  <si>
    <t>mol (lbmol/hr)</t>
  </si>
  <si>
    <t>x H20 (mole frac)</t>
  </si>
  <si>
    <t>x MEA (mole frac)</t>
  </si>
  <si>
    <t>x H2S mole (frac)</t>
  </si>
  <si>
    <t>x CO2 (mole frac)</t>
  </si>
  <si>
    <t>x HCO3- (mole frac)</t>
  </si>
  <si>
    <t>x MEACOO- (mole frac)</t>
  </si>
  <si>
    <t>x MEA+ (mole frac)</t>
  </si>
  <si>
    <t>x CO3-2 (mole frac)</t>
  </si>
  <si>
    <t>x HS- (mole frac)</t>
  </si>
  <si>
    <t>x S-2 (mole frac)</t>
  </si>
  <si>
    <t>x H3O+ (mole frac)</t>
  </si>
  <si>
    <t>x OH- (mole frac)</t>
  </si>
  <si>
    <t>x N2 (mole frac)</t>
  </si>
  <si>
    <t>P_sol_pump</t>
  </si>
  <si>
    <t>lb/hr</t>
  </si>
  <si>
    <t>mol CO2/mol MEA</t>
  </si>
  <si>
    <t>Lean loading</t>
  </si>
  <si>
    <t>abs_ht_wash</t>
  </si>
  <si>
    <t>absorber wash section packing height (ft)</t>
  </si>
  <si>
    <t>abs_ht_mid</t>
  </si>
  <si>
    <t>absorber middle (before IC) section packing height (ft)</t>
  </si>
  <si>
    <t>abs_ic_dT</t>
  </si>
  <si>
    <t>temerature change in absorber intercooler (F)</t>
  </si>
  <si>
    <t>F</t>
  </si>
  <si>
    <t>mid</t>
  </si>
  <si>
    <t>abs_1_fracc</t>
  </si>
  <si>
    <t>fractional capacity of absorber wash section</t>
  </si>
  <si>
    <t>abs_2_fracc</t>
  </si>
  <si>
    <t>fractional capacity of absorber mid section</t>
  </si>
  <si>
    <t>Absorber Stage Packing Heights</t>
  </si>
  <si>
    <t>Start</t>
  </si>
  <si>
    <t>End</t>
  </si>
  <si>
    <t>Stage</t>
  </si>
  <si>
    <t>mean</t>
  </si>
  <si>
    <t>ft</t>
  </si>
  <si>
    <t>Absorber Height</t>
  </si>
  <si>
    <t>psia</t>
  </si>
  <si>
    <t>Comments</t>
  </si>
  <si>
    <t>Value</t>
  </si>
  <si>
    <t>Units</t>
  </si>
  <si>
    <t>Desctiption</t>
  </si>
  <si>
    <t>Flue Gas</t>
  </si>
  <si>
    <t>Flue Gas Flow Rate</t>
  </si>
  <si>
    <t>Flue Gas Temperature</t>
  </si>
  <si>
    <t>Flue Gas Pressure</t>
  </si>
  <si>
    <t>Flue Gas Nitrogen Mass Fraction</t>
  </si>
  <si>
    <t>Flue Gas CO2 Mass Fraction</t>
  </si>
  <si>
    <t>Flue Gas H2O Mass Fraction</t>
  </si>
  <si>
    <t>Total Mass Fraction</t>
  </si>
  <si>
    <t>Solvent</t>
  </si>
  <si>
    <t>Input Sheet</t>
  </si>
  <si>
    <t>design id:</t>
  </si>
  <si>
    <t>absorber diameter (ft)</t>
  </si>
  <si>
    <t>abs_dia</t>
  </si>
  <si>
    <t>The cost estimates are based on cost sorelations from Seider et al (2004) unless otherwise noted.  The CE index for those corelations is 500, which coresponds approximatly to 2006.</t>
  </si>
  <si>
    <t>CE</t>
  </si>
  <si>
    <t>Tower base FOB purchase Costs (Seider et al., 2004)</t>
  </si>
  <si>
    <t>General Information</t>
  </si>
  <si>
    <t>Tower Material Correction</t>
  </si>
  <si>
    <t>Tower Material Density</t>
  </si>
  <si>
    <r>
      <t>lbs/ft</t>
    </r>
    <r>
      <rPr>
        <vertAlign val="superscript"/>
        <sz val="11"/>
        <color theme="1"/>
        <rFont val="Calibri"/>
        <family val="2"/>
        <scheme val="minor"/>
      </rPr>
      <t>3</t>
    </r>
  </si>
  <si>
    <t>density of carbon steel</t>
  </si>
  <si>
    <t>Absorber Packing Cost per Volume</t>
  </si>
  <si>
    <r>
      <t>$/ft</t>
    </r>
    <r>
      <rPr>
        <vertAlign val="superscript"/>
        <sz val="11"/>
        <color theme="1"/>
        <rFont val="Calibri"/>
        <family val="2"/>
        <scheme val="minor"/>
      </rPr>
      <t>3</t>
    </r>
  </si>
  <si>
    <t>Extra Column Height</t>
  </si>
  <si>
    <t>Kind of a guess</t>
  </si>
  <si>
    <t>in</t>
  </si>
  <si>
    <t>This thickness was taken from an IPE run, pressure too low to influence thickness</t>
  </si>
  <si>
    <t>Absorber Packing Height</t>
  </si>
  <si>
    <t>Absorber Packing Volume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</si>
  <si>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</si>
  <si>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W Absorber</t>
  </si>
  <si>
    <t>lbs</t>
  </si>
  <si>
    <t>Weight of the absorber shell SSL equation 22.59</t>
  </si>
  <si>
    <t>Absorber Vessel Cost</t>
  </si>
  <si>
    <t>$</t>
  </si>
  <si>
    <t>SSL equation 22.57, vessel cost for towers</t>
  </si>
  <si>
    <t>Absorber Packing Cost</t>
  </si>
  <si>
    <t>Absorber Cost of Platforms and Ladders</t>
  </si>
  <si>
    <t>structured stainless packing assume CE = 550</t>
  </si>
  <si>
    <t>Absorber Packing Diameter</t>
  </si>
  <si>
    <t>Absorber Column Height</t>
  </si>
  <si>
    <t>There are five identical systems running in parallel.  The cost estimates are for one, and multiplied by five at the end.</t>
  </si>
  <si>
    <t>SSL equation 22.58</t>
  </si>
  <si>
    <t>Absorber shell thickness</t>
  </si>
  <si>
    <t>Stripper shell thickness</t>
  </si>
  <si>
    <t>1 for carbon steel, SSL table 22.26</t>
  </si>
  <si>
    <t>Oversize Factor for Heat Exchange Area</t>
  </si>
  <si>
    <t>Material correction parameter a</t>
  </si>
  <si>
    <t>Material correction factor for SSL equation 22.44, carbon steel tubes and shell</t>
  </si>
  <si>
    <t>Material correction parameter b</t>
  </si>
  <si>
    <r>
      <t>Btu/hr-ft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-F</t>
    </r>
  </si>
  <si>
    <t>Heat transfer coefficient taken from an IPE run</t>
  </si>
  <si>
    <t>Cooling Water Inlet T</t>
  </si>
  <si>
    <t>Cooling Water Temperature</t>
  </si>
  <si>
    <t>Cooling Water Outlet T</t>
  </si>
  <si>
    <t>Cooling Water Outlet Temperature</t>
  </si>
  <si>
    <t>Btu/hr</t>
  </si>
  <si>
    <t>ft2</t>
  </si>
  <si>
    <t>Heat Exchanger base FOB purchase Costs (Seider et al., 2004)</t>
  </si>
  <si>
    <t>Absorber Intercooler Q</t>
  </si>
  <si>
    <t>Absorber Intercooler LMTD</t>
  </si>
  <si>
    <t>Absorber Intercooler U</t>
  </si>
  <si>
    <t>Abs Intercooler Heat Transfer Area</t>
  </si>
  <si>
    <t>U-tube cost correlations, SSL equation 22.41 and 22.45</t>
  </si>
  <si>
    <t>sol_pump_pow</t>
  </si>
  <si>
    <t>solvent pump power (hp)</t>
  </si>
  <si>
    <t>Material Factor for solvent Pump</t>
  </si>
  <si>
    <t>SSL table 22.21, cast steel</t>
  </si>
  <si>
    <t>solvent pump head</t>
  </si>
  <si>
    <t>ft H2O</t>
  </si>
  <si>
    <t>dP = 15 psi</t>
  </si>
  <si>
    <t>solvent pump volume</t>
  </si>
  <si>
    <t>gpm</t>
  </si>
  <si>
    <t>Assuming the solvent density is 8.32 lb/gal</t>
  </si>
  <si>
    <t>solvent pump size factor (S)</t>
  </si>
  <si>
    <t>SSL equation 22.13</t>
  </si>
  <si>
    <t>solvent pump cost</t>
  </si>
  <si>
    <t>SSL equation 22.14, 22.15</t>
  </si>
  <si>
    <t>solvent pump motor cost</t>
  </si>
  <si>
    <t>SSL equation 22.19, using Aspen's power calculation</t>
  </si>
  <si>
    <t>Total Pump Cost</t>
  </si>
  <si>
    <t>Total FOB purchase Costs (Seider et al., 2004)</t>
  </si>
  <si>
    <t>Total FOB Purchase for Major Equipment</t>
  </si>
  <si>
    <t>Total FOB Purchase times 5 trains</t>
  </si>
  <si>
    <t>Solvent Pump base FOB purchase Costs (Seider et al., 2004)</t>
  </si>
  <si>
    <t>Total Capital Investment</t>
  </si>
  <si>
    <t>Lang Factor</t>
  </si>
  <si>
    <t>Delivery Factor</t>
  </si>
  <si>
    <t>Fraction MEA</t>
  </si>
  <si>
    <t>Mass basis solvent 0 loading</t>
  </si>
  <si>
    <t>Mass MEA</t>
  </si>
  <si>
    <t>Mass Water</t>
  </si>
  <si>
    <t>Mass CO2</t>
  </si>
  <si>
    <t>Total Mass</t>
  </si>
  <si>
    <t>Mass Fraction MEA</t>
  </si>
  <si>
    <t>Mass Fraction Water</t>
  </si>
  <si>
    <t>Mass Fraction CO2</t>
  </si>
  <si>
    <t>Absorber</t>
  </si>
  <si>
    <t>Wash water flow</t>
  </si>
  <si>
    <t>Solvent Temperature</t>
  </si>
  <si>
    <t>Wash section height</t>
  </si>
  <si>
    <t>Abs Intercooler dT</t>
  </si>
  <si>
    <t>mass MEA/mass MEA + water</t>
  </si>
  <si>
    <t>Carbon Capture Fraction</t>
  </si>
  <si>
    <t>Rich loading</t>
  </si>
  <si>
    <t>Mass clean solvent</t>
  </si>
  <si>
    <t>Absorber Intercooler Outlet T</t>
  </si>
  <si>
    <t>Absorber Inercooler Cost</t>
  </si>
  <si>
    <t>Absorbing section height</t>
  </si>
  <si>
    <t>mea-sinter.txt</t>
  </si>
  <si>
    <t>C:\Documents and Settings\jeslick\Desktop\mea-cap\mea</t>
  </si>
  <si>
    <t>mea.bkp</t>
  </si>
  <si>
    <t>RICH-03</t>
  </si>
  <si>
    <t>LEAN-02</t>
  </si>
  <si>
    <t>LEAN-03</t>
  </si>
  <si>
    <t>LEAN-04</t>
  </si>
  <si>
    <t>CO2</t>
  </si>
  <si>
    <t>bottom</t>
  </si>
  <si>
    <t>lean_load</t>
  </si>
  <si>
    <t>lean loading (mol CO2/mol MEA)</t>
  </si>
  <si>
    <t>P_regen_top</t>
  </si>
  <si>
    <t>regenerator pressure at the condenser (psia)</t>
  </si>
  <si>
    <t>cond_T_regen</t>
  </si>
  <si>
    <t>regenerator condenser temperature (F)</t>
  </si>
  <si>
    <t>ht_regen</t>
  </si>
  <si>
    <t>regenerator packing height in feet (ft)</t>
  </si>
  <si>
    <t>slv_cool_01</t>
  </si>
  <si>
    <t>the temperature of the solvent cooler outlet (F)</t>
  </si>
  <si>
    <t>lr_rich_T</t>
  </si>
  <si>
    <t>outlet rich solvent temperature from lean-rich exchanger (F)</t>
  </si>
  <si>
    <t>rblr_T_regen_o</t>
  </si>
  <si>
    <t>regenerator reboiler temperature (F)</t>
  </si>
  <si>
    <t>cond_T_regen_o</t>
  </si>
  <si>
    <t>rblr_duty_regen</t>
  </si>
  <si>
    <t>regenerator reboiler duty (Btu/hr)</t>
  </si>
  <si>
    <t>cond_duty_regen</t>
  </si>
  <si>
    <t>regenerator condneser duty (Btu/hr)</t>
  </si>
  <si>
    <t>rich_T_regen</t>
  </si>
  <si>
    <t>temperature of rich solvent into regenerator (F)</t>
  </si>
  <si>
    <t>solvent_cl_duty</t>
  </si>
  <si>
    <t>heat duty of lean solvent cooler (F)</t>
  </si>
  <si>
    <t>lr_hx_Q</t>
  </si>
  <si>
    <t>heat duty of lean-rich heat exchanger (Btu/lb)</t>
  </si>
  <si>
    <t>regen_fracc</t>
  </si>
  <si>
    <t>fractional capacity of regenerator</t>
  </si>
  <si>
    <t>regen_dia</t>
  </si>
  <si>
    <t>regenerator diameter (ft)</t>
  </si>
  <si>
    <t>cond</t>
  </si>
  <si>
    <t>reboiler</t>
  </si>
  <si>
    <t>y co2</t>
  </si>
  <si>
    <t>condenser</t>
  </si>
  <si>
    <t>y H2O</t>
  </si>
  <si>
    <t>Regenerator</t>
  </si>
  <si>
    <t>Condenser T</t>
  </si>
  <si>
    <t>Rich feed T</t>
  </si>
  <si>
    <t>Regenerator Height</t>
  </si>
  <si>
    <t>Condenser P</t>
  </si>
  <si>
    <t>Stripper Stage Packing Heights</t>
  </si>
  <si>
    <t>Condenser</t>
  </si>
  <si>
    <t>Reboiler</t>
  </si>
  <si>
    <t>Absorber Profile</t>
  </si>
  <si>
    <t>Regenerator profile</t>
  </si>
  <si>
    <t>Regenerator Profile</t>
  </si>
  <si>
    <t>(initial solvet flow guess, adjusted by absorber design spec)</t>
  </si>
  <si>
    <t>Regenrator</t>
  </si>
  <si>
    <t>Total Regenerator Cost</t>
  </si>
  <si>
    <t>Total Absorber Cost</t>
  </si>
  <si>
    <t>Regenerator Packing Volume</t>
  </si>
  <si>
    <t>Regenerator Packing Diameter</t>
  </si>
  <si>
    <t>Regenerator Packing Height</t>
  </si>
  <si>
    <t>Regenerator Column Height</t>
  </si>
  <si>
    <t>W Regenerator</t>
  </si>
  <si>
    <t>Regenerator Vessel Cost</t>
  </si>
  <si>
    <t>Regenerator Packing Cost</t>
  </si>
  <si>
    <t>Regenerator Cost of Platforms and Ladders</t>
  </si>
  <si>
    <t>Abs InterCooler Hot In T</t>
  </si>
  <si>
    <t>Abs Inter Cooler Hot Out T</t>
  </si>
  <si>
    <t>Abs InterCooler Cold In T</t>
  </si>
  <si>
    <t>Abs Inter Cooler Cold Out T</t>
  </si>
  <si>
    <t>LRHX U</t>
  </si>
  <si>
    <t>LRHX Hot in T</t>
  </si>
  <si>
    <t>LRHX Hot out T</t>
  </si>
  <si>
    <t>LRHX Cold In T</t>
  </si>
  <si>
    <t>LRHX Cold Out T</t>
  </si>
  <si>
    <t>LRHX Q</t>
  </si>
  <si>
    <t>LRHX LMTD</t>
  </si>
  <si>
    <t>LRHX Heat Transfer Area</t>
  </si>
  <si>
    <t>LRHX Cost</t>
  </si>
  <si>
    <t>Solvent Cooler U</t>
  </si>
  <si>
    <t>Solvent Cooler Hot in T</t>
  </si>
  <si>
    <t>Solvent Cooler Hot out T</t>
  </si>
  <si>
    <t>Solvent Cooler Cold In T</t>
  </si>
  <si>
    <t>Solvent Cooler Cold Out T</t>
  </si>
  <si>
    <t>Solvent Cooler Q</t>
  </si>
  <si>
    <t>Solvent Cooler LMTD</t>
  </si>
  <si>
    <t>Solvent Cooler Heat Transfer Area</t>
  </si>
  <si>
    <t>Solvent Cooler Cost</t>
  </si>
  <si>
    <t>Reboiler U</t>
  </si>
  <si>
    <t>Reboiler Hot in T</t>
  </si>
  <si>
    <t>Reboiler Hot out T</t>
  </si>
  <si>
    <t>Reboiler Cold In T</t>
  </si>
  <si>
    <t>Reboiler Cold Out T</t>
  </si>
  <si>
    <t>Reboiler Q</t>
  </si>
  <si>
    <t>Reboiler Heat Transfer Area</t>
  </si>
  <si>
    <t>Reboiler Cost</t>
  </si>
  <si>
    <t>Condenser U</t>
  </si>
  <si>
    <t>Condenser Hot in T</t>
  </si>
  <si>
    <t>Condenser Hot out T</t>
  </si>
  <si>
    <t>Condenser Cold In T</t>
  </si>
  <si>
    <t>Condenser Cold Out T</t>
  </si>
  <si>
    <t>Condenser Q</t>
  </si>
  <si>
    <t>Condenser LMTD</t>
  </si>
  <si>
    <t>Condenser Heat Transfer Area</t>
  </si>
  <si>
    <t>Condenser Cost</t>
  </si>
  <si>
    <t>Condensing Steam T</t>
  </si>
  <si>
    <t>Temperature of condensing steam</t>
  </si>
  <si>
    <t>Reboiler TD</t>
  </si>
  <si>
    <t>Total HX Cost</t>
  </si>
  <si>
    <t>Steam Extraction</t>
  </si>
  <si>
    <t>Steam Condensation Temperature</t>
  </si>
  <si>
    <t>Steam Temperature</t>
  </si>
  <si>
    <t>Steam Pressure</t>
  </si>
  <si>
    <t>Enthalpy of Incoming Steam</t>
  </si>
  <si>
    <t>Btu/lb</t>
  </si>
  <si>
    <t>Entahlpy of Saturated Liquid</t>
  </si>
  <si>
    <t>Heat Recovered From Steam</t>
  </si>
  <si>
    <t>Steam Required</t>
  </si>
  <si>
    <t>Input</t>
  </si>
  <si>
    <t>Cell</t>
  </si>
  <si>
    <t>Input!E15</t>
  </si>
  <si>
    <t>Lean Loading</t>
  </si>
  <si>
    <t>Output</t>
  </si>
  <si>
    <t>Elapsed Time</t>
  </si>
  <si>
    <t>Sim!B4</t>
  </si>
  <si>
    <t>Status Code</t>
  </si>
  <si>
    <t>Sim!B5</t>
  </si>
  <si>
    <t>Slovent Flow</t>
  </si>
  <si>
    <t>Input!E16</t>
  </si>
  <si>
    <t>EC Par 1A</t>
  </si>
  <si>
    <t>EC Par 1B</t>
  </si>
  <si>
    <t>EC Par 1C</t>
  </si>
  <si>
    <t>EC Par 1D</t>
  </si>
  <si>
    <t>EC Par 2A</t>
  </si>
  <si>
    <t>EC Par 2B</t>
  </si>
  <si>
    <t>EC Par 2C</t>
  </si>
  <si>
    <t>EC Par 2D</t>
  </si>
  <si>
    <t>EC Par 3A</t>
  </si>
  <si>
    <t>EC Par 3B</t>
  </si>
  <si>
    <t>EC Par 3C</t>
  </si>
  <si>
    <t>EC Par 3D</t>
  </si>
  <si>
    <t>EC Par 4A</t>
  </si>
  <si>
    <t>EC Par 4B</t>
  </si>
  <si>
    <t>EC Par 4C</t>
  </si>
  <si>
    <t>EC Par 4D</t>
  </si>
  <si>
    <t>EC Par 5A</t>
  </si>
  <si>
    <t>EC Par 5B</t>
  </si>
  <si>
    <t>EC Par 5C</t>
  </si>
  <si>
    <t>EC Par 5D</t>
  </si>
  <si>
    <t>Sim!D181</t>
  </si>
  <si>
    <t>Sim!C181</t>
  </si>
  <si>
    <t>Sim!E181</t>
  </si>
  <si>
    <t>Sim!F181</t>
  </si>
  <si>
    <t>Sim!C182</t>
  </si>
  <si>
    <t>Sim!D182</t>
  </si>
  <si>
    <t>Sim!E182</t>
  </si>
  <si>
    <t>Sim!F182</t>
  </si>
  <si>
    <t>Sim!C183</t>
  </si>
  <si>
    <t>Sim!D183</t>
  </si>
  <si>
    <t>Sim!E183</t>
  </si>
  <si>
    <t>Sim!F183</t>
  </si>
  <si>
    <t>Sim!C184</t>
  </si>
  <si>
    <t>Sim!D184</t>
  </si>
  <si>
    <t>Sim!E184</t>
  </si>
  <si>
    <t>Sim!F184</t>
  </si>
  <si>
    <t>Sim!C185</t>
  </si>
  <si>
    <t>Sim!D185</t>
  </si>
  <si>
    <t>Sim!E185</t>
  </si>
  <si>
    <t>Sim!F185</t>
  </si>
  <si>
    <t>Capture Frac</t>
  </si>
  <si>
    <t>Calculations!D5</t>
  </si>
  <si>
    <t>Stripper Frac Capacity</t>
  </si>
  <si>
    <t>Absorber Frac Capacity</t>
  </si>
</sst>
</file>

<file path=xl/styles.xml><?xml version="1.0" encoding="utf-8"?>
<styleSheet xmlns="http://schemas.openxmlformats.org/spreadsheetml/2006/main">
  <numFmts count="7">
    <numFmt numFmtId="164" formatCode="m/d/yy\ h:mm;@"/>
    <numFmt numFmtId="165" formatCode="#,##0.000000"/>
    <numFmt numFmtId="166" formatCode="#,##0.0000"/>
    <numFmt numFmtId="167" formatCode="0.0000"/>
    <numFmt numFmtId="168" formatCode="0.000"/>
    <numFmt numFmtId="169" formatCode="0.000000"/>
    <numFmt numFmtId="170" formatCode="#,##0.000"/>
  </numFmts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5" fontId="0" fillId="0" borderId="0" xfId="0" applyNumberFormat="1"/>
    <xf numFmtId="165" fontId="4" fillId="0" borderId="0" xfId="0" applyNumberFormat="1" applyFont="1"/>
    <xf numFmtId="166" fontId="4" fillId="0" borderId="0" xfId="0" applyNumberFormat="1" applyFont="1"/>
    <xf numFmtId="4" fontId="4" fillId="0" borderId="0" xfId="0" applyNumberFormat="1" applyFont="1"/>
    <xf numFmtId="3" fontId="4" fillId="0" borderId="0" xfId="0" applyNumberFormat="1" applyFont="1"/>
    <xf numFmtId="0" fontId="4" fillId="0" borderId="0" xfId="0" applyNumberFormat="1" applyFont="1"/>
    <xf numFmtId="0" fontId="5" fillId="0" borderId="0" xfId="0" applyNumberFormat="1" applyFont="1"/>
    <xf numFmtId="4" fontId="5" fillId="0" borderId="0" xfId="0" applyNumberFormat="1" applyFont="1"/>
    <xf numFmtId="3" fontId="5" fillId="0" borderId="0" xfId="0" applyNumberFormat="1" applyFont="1"/>
    <xf numFmtId="165" fontId="5" fillId="0" borderId="0" xfId="0" applyNumberFormat="1" applyFont="1"/>
    <xf numFmtId="166" fontId="5" fillId="0" borderId="0" xfId="0" applyNumberFormat="1" applyFont="1"/>
    <xf numFmtId="0" fontId="0" fillId="0" borderId="0" xfId="0" applyAlignment="1">
      <alignment horizontal="center"/>
    </xf>
    <xf numFmtId="168" fontId="0" fillId="0" borderId="0" xfId="0" applyNumberFormat="1"/>
    <xf numFmtId="167" fontId="5" fillId="0" borderId="0" xfId="0" applyNumberFormat="1" applyFont="1"/>
    <xf numFmtId="0" fontId="5" fillId="0" borderId="0" xfId="0" applyFont="1"/>
    <xf numFmtId="2" fontId="5" fillId="0" borderId="0" xfId="0" applyNumberFormat="1" applyFont="1"/>
    <xf numFmtId="0" fontId="0" fillId="0" borderId="1" xfId="0" applyBorder="1"/>
    <xf numFmtId="0" fontId="0" fillId="0" borderId="0" xfId="0" applyBorder="1"/>
    <xf numFmtId="168" fontId="0" fillId="0" borderId="0" xfId="0" applyNumberFormat="1" applyBorder="1"/>
    <xf numFmtId="0" fontId="0" fillId="0" borderId="3" xfId="0" applyBorder="1"/>
    <xf numFmtId="168" fontId="0" fillId="0" borderId="4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2" fontId="0" fillId="0" borderId="6" xfId="0" applyNumberFormat="1" applyBorder="1" applyAlignment="1">
      <alignment horizontal="centerContinuous"/>
    </xf>
    <xf numFmtId="2" fontId="0" fillId="0" borderId="7" xfId="0" applyNumberFormat="1" applyBorder="1" applyAlignment="1">
      <alignment horizontal="centerContinuous"/>
    </xf>
    <xf numFmtId="2" fontId="0" fillId="0" borderId="8" xfId="0" applyNumberFormat="1" applyBorder="1" applyAlignment="1">
      <alignment horizontal="centerContinuous"/>
    </xf>
    <xf numFmtId="11" fontId="5" fillId="0" borderId="0" xfId="0" applyNumberFormat="1" applyFont="1"/>
    <xf numFmtId="0" fontId="0" fillId="2" borderId="0" xfId="0" applyFill="1" applyAlignment="1">
      <alignment horizontal="centerContinuous"/>
    </xf>
    <xf numFmtId="0" fontId="0" fillId="2" borderId="0" xfId="0" applyFill="1"/>
    <xf numFmtId="0" fontId="8" fillId="0" borderId="0" xfId="0" applyFont="1" applyAlignment="1">
      <alignment horizontal="right"/>
    </xf>
    <xf numFmtId="0" fontId="8" fillId="0" borderId="0" xfId="0" applyFont="1"/>
    <xf numFmtId="0" fontId="8" fillId="0" borderId="0" xfId="0" applyFont="1" applyAlignment="1">
      <alignment horizontal="left"/>
    </xf>
    <xf numFmtId="0" fontId="8" fillId="2" borderId="0" xfId="0" applyFont="1" applyFill="1" applyAlignment="1">
      <alignment horizontal="centerContinuous"/>
    </xf>
    <xf numFmtId="0" fontId="4" fillId="0" borderId="0" xfId="0" applyFont="1"/>
    <xf numFmtId="0" fontId="9" fillId="0" borderId="0" xfId="0" applyFont="1"/>
    <xf numFmtId="0" fontId="2" fillId="0" borderId="0" xfId="0" applyFont="1" applyAlignment="1">
      <alignment horizontal="right"/>
    </xf>
    <xf numFmtId="0" fontId="0" fillId="3" borderId="0" xfId="0" applyFill="1"/>
    <xf numFmtId="0" fontId="8" fillId="3" borderId="0" xfId="0" applyFont="1" applyFill="1"/>
    <xf numFmtId="3" fontId="0" fillId="0" borderId="0" xfId="0" applyNumberFormat="1"/>
    <xf numFmtId="4" fontId="0" fillId="0" borderId="0" xfId="0" applyNumberFormat="1"/>
    <xf numFmtId="2" fontId="0" fillId="0" borderId="0" xfId="0" applyNumberFormat="1"/>
    <xf numFmtId="0" fontId="10" fillId="0" borderId="0" xfId="0" applyFont="1"/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3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3" fontId="12" fillId="0" borderId="0" xfId="0" applyNumberFormat="1" applyFont="1"/>
    <xf numFmtId="0" fontId="12" fillId="0" borderId="0" xfId="0" applyFont="1"/>
    <xf numFmtId="169" fontId="12" fillId="0" borderId="0" xfId="0" applyNumberFormat="1" applyFont="1"/>
    <xf numFmtId="170" fontId="5" fillId="0" borderId="0" xfId="0" applyNumberFormat="1" applyFont="1"/>
    <xf numFmtId="168" fontId="0" fillId="0" borderId="2" xfId="0" applyNumberFormat="1" applyBorder="1"/>
    <xf numFmtId="168" fontId="0" fillId="0" borderId="5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3" fontId="8" fillId="0" borderId="0" xfId="0" applyNumberFormat="1" applyFont="1"/>
    <xf numFmtId="11" fontId="0" fillId="0" borderId="0" xfId="0" applyNumberFormat="1"/>
    <xf numFmtId="2" fontId="0" fillId="0" borderId="0" xfId="0" applyNumberFormat="1" applyAlignment="1">
      <alignment horizontal="right"/>
    </xf>
    <xf numFmtId="167" fontId="0" fillId="0" borderId="0" xfId="0" applyNumberFormat="1"/>
    <xf numFmtId="0" fontId="0" fillId="0" borderId="0" xfId="0" applyAlignment="1">
      <alignment wrapText="1"/>
    </xf>
    <xf numFmtId="3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  <xf numFmtId="4" fontId="0" fillId="0" borderId="0" xfId="0" quotePrefix="1" applyNumberFormat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quotePrefix="1" applyNumberFormat="1" applyAlignment="1">
      <alignment horizontal="right"/>
    </xf>
  </cellXfs>
  <cellStyles count="1"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9FE59F"/>
      <color rgb="FFF8FFB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409574</xdr:colOff>
      <xdr:row>1</xdr:row>
      <xdr:rowOff>66674</xdr:rowOff>
    </xdr:from>
    <xdr:to>
      <xdr:col>3</xdr:col>
      <xdr:colOff>933450</xdr:colOff>
      <xdr:row>3</xdr:row>
      <xdr:rowOff>19050</xdr:rowOff>
    </xdr:to>
    <xdr:sp macro="[0]!runSim" textlink="">
      <xdr:nvSpPr>
        <xdr:cNvPr id="2" name="TextBox 1"/>
        <xdr:cNvSpPr txBox="1"/>
      </xdr:nvSpPr>
      <xdr:spPr>
        <a:xfrm>
          <a:off x="2371724" y="257174"/>
          <a:ext cx="1504951" cy="333376"/>
        </a:xfrm>
        <a:prstGeom prst="rect">
          <a:avLst/>
        </a:prstGeom>
        <a:solidFill>
          <a:srgbClr val="9FE59F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Run Simulation</a:t>
          </a:r>
        </a:p>
      </xdr:txBody>
    </xdr:sp>
    <xdr:clientData/>
  </xdr:twoCellAnchor>
  <xdr:twoCellAnchor>
    <xdr:from>
      <xdr:col>2</xdr:col>
      <xdr:colOff>409575</xdr:colOff>
      <xdr:row>3</xdr:row>
      <xdr:rowOff>85725</xdr:rowOff>
    </xdr:from>
    <xdr:to>
      <xdr:col>3</xdr:col>
      <xdr:colOff>933451</xdr:colOff>
      <xdr:row>5</xdr:row>
      <xdr:rowOff>0</xdr:rowOff>
    </xdr:to>
    <xdr:sp macro="[0]!reinit" textlink="">
      <xdr:nvSpPr>
        <xdr:cNvPr id="4" name="TextBox 3"/>
        <xdr:cNvSpPr txBox="1"/>
      </xdr:nvSpPr>
      <xdr:spPr>
        <a:xfrm>
          <a:off x="2371725" y="657225"/>
          <a:ext cx="1504951" cy="333376"/>
        </a:xfrm>
        <a:prstGeom prst="rect">
          <a:avLst/>
        </a:prstGeom>
        <a:solidFill>
          <a:schemeClr val="bg2">
            <a:lumMod val="9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Reinitialize</a:t>
          </a:r>
          <a:r>
            <a:rPr lang="en-US" sz="1100" baseline="0">
              <a:ln>
                <a:noFill/>
              </a:ln>
            </a:rPr>
            <a:t> </a:t>
          </a:r>
          <a:r>
            <a:rPr lang="en-US" sz="1100">
              <a:ln>
                <a:noFill/>
              </a:ln>
            </a:rPr>
            <a:t>Simulation</a:t>
          </a:r>
        </a:p>
      </xdr:txBody>
    </xdr:sp>
    <xdr:clientData/>
  </xdr:twoCellAnchor>
  <xdr:twoCellAnchor>
    <xdr:from>
      <xdr:col>3</xdr:col>
      <xdr:colOff>990600</xdr:colOff>
      <xdr:row>1</xdr:row>
      <xdr:rowOff>66675</xdr:rowOff>
    </xdr:from>
    <xdr:to>
      <xdr:col>5</xdr:col>
      <xdr:colOff>200026</xdr:colOff>
      <xdr:row>3</xdr:row>
      <xdr:rowOff>19051</xdr:rowOff>
    </xdr:to>
    <xdr:sp macro="[0]!aspenConnectAndSheetInitMsg" textlink="">
      <xdr:nvSpPr>
        <xdr:cNvPr id="5" name="TextBox 4"/>
        <xdr:cNvSpPr txBox="1"/>
      </xdr:nvSpPr>
      <xdr:spPr>
        <a:xfrm>
          <a:off x="4933950" y="257175"/>
          <a:ext cx="1838326" cy="33337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Sheet Initialize</a:t>
          </a:r>
        </a:p>
      </xdr:txBody>
    </xdr:sp>
    <xdr:clientData/>
  </xdr:twoCellAnchor>
  <xdr:twoCellAnchor>
    <xdr:from>
      <xdr:col>3</xdr:col>
      <xdr:colOff>990600</xdr:colOff>
      <xdr:row>3</xdr:row>
      <xdr:rowOff>85725</xdr:rowOff>
    </xdr:from>
    <xdr:to>
      <xdr:col>5</xdr:col>
      <xdr:colOff>200026</xdr:colOff>
      <xdr:row>5</xdr:row>
      <xdr:rowOff>0</xdr:rowOff>
    </xdr:to>
    <xdr:sp macro="[0]!closeSim" textlink="">
      <xdr:nvSpPr>
        <xdr:cNvPr id="6" name="TextBox 5"/>
        <xdr:cNvSpPr txBox="1"/>
      </xdr:nvSpPr>
      <xdr:spPr>
        <a:xfrm>
          <a:off x="4933950" y="657225"/>
          <a:ext cx="1838326" cy="2952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Close</a:t>
          </a:r>
          <a:r>
            <a:rPr lang="en-US" sz="1100" baseline="0">
              <a:ln>
                <a:noFill/>
              </a:ln>
            </a:rPr>
            <a:t> Aspen</a:t>
          </a:r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5</xdr:col>
      <xdr:colOff>266700</xdr:colOff>
      <xdr:row>1</xdr:row>
      <xdr:rowOff>66675</xdr:rowOff>
    </xdr:from>
    <xdr:to>
      <xdr:col>6</xdr:col>
      <xdr:colOff>1123951</xdr:colOff>
      <xdr:row>3</xdr:row>
      <xdr:rowOff>19051</xdr:rowOff>
    </xdr:to>
    <xdr:sp macro="[0]!findSetupFile" textlink="">
      <xdr:nvSpPr>
        <xdr:cNvPr id="8" name="TextBox 7"/>
        <xdr:cNvSpPr txBox="1"/>
      </xdr:nvSpPr>
      <xdr:spPr>
        <a:xfrm>
          <a:off x="6838950" y="257175"/>
          <a:ext cx="2171701" cy="333376"/>
        </a:xfrm>
        <a:prstGeom prst="rect">
          <a:avLst/>
        </a:prstGeom>
        <a:solidFill>
          <a:srgbClr val="F8FFB9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Find</a:t>
          </a:r>
          <a:r>
            <a:rPr lang="en-US" sz="1100" baseline="0">
              <a:ln>
                <a:noFill/>
              </a:ln>
            </a:rPr>
            <a:t> Setup File</a:t>
          </a:r>
          <a:endParaRPr lang="en-US" sz="1100">
            <a:ln>
              <a:noFill/>
            </a:ln>
          </a:endParaRPr>
        </a:p>
      </xdr:txBody>
    </xdr:sp>
    <xdr:clientData/>
  </xdr:twoCellAnchor>
  <xdr:twoCellAnchor>
    <xdr:from>
      <xdr:col>5</xdr:col>
      <xdr:colOff>266700</xdr:colOff>
      <xdr:row>3</xdr:row>
      <xdr:rowOff>85725</xdr:rowOff>
    </xdr:from>
    <xdr:to>
      <xdr:col>6</xdr:col>
      <xdr:colOff>1123951</xdr:colOff>
      <xdr:row>5</xdr:row>
      <xdr:rowOff>0</xdr:rowOff>
    </xdr:to>
    <xdr:sp macro="[0]!removeCellNames" textlink="">
      <xdr:nvSpPr>
        <xdr:cNvPr id="7" name="TextBox 6"/>
        <xdr:cNvSpPr txBox="1"/>
      </xdr:nvSpPr>
      <xdr:spPr>
        <a:xfrm>
          <a:off x="6838950" y="657225"/>
          <a:ext cx="2171701" cy="2952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 anchorCtr="0"/>
        <a:lstStyle/>
        <a:p>
          <a:pPr algn="ctr"/>
          <a:r>
            <a:rPr lang="en-US" sz="1100">
              <a:ln>
                <a:noFill/>
              </a:ln>
            </a:rPr>
            <a:t>Remove</a:t>
          </a:r>
          <a:r>
            <a:rPr lang="en-US" sz="1100" baseline="0">
              <a:ln>
                <a:noFill/>
              </a:ln>
            </a:rPr>
            <a:t> Cell Names</a:t>
          </a:r>
          <a:endParaRPr lang="en-US" sz="1100">
            <a:ln>
              <a:noFill/>
            </a:ln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K39"/>
  <sheetViews>
    <sheetView workbookViewId="0">
      <selection activeCell="E16" sqref="E16"/>
    </sheetView>
  </sheetViews>
  <sheetFormatPr defaultRowHeight="15"/>
  <cols>
    <col min="1" max="15" width="15.7109375" customWidth="1"/>
  </cols>
  <sheetData>
    <row r="1" spans="1:11" ht="26.25">
      <c r="A1" s="43" t="s">
        <v>114</v>
      </c>
    </row>
    <row r="3" spans="1:11">
      <c r="D3" s="38" t="s">
        <v>104</v>
      </c>
      <c r="E3" s="38" t="s">
        <v>102</v>
      </c>
      <c r="F3" s="40" t="s">
        <v>103</v>
      </c>
      <c r="G3" s="39" t="s">
        <v>101</v>
      </c>
    </row>
    <row r="4" spans="1:11">
      <c r="A4" s="37"/>
      <c r="B4" s="41" t="s">
        <v>105</v>
      </c>
      <c r="C4" s="36"/>
      <c r="D4" s="36"/>
      <c r="E4" s="36"/>
      <c r="F4" s="36"/>
      <c r="G4" s="37"/>
      <c r="H4" s="37"/>
      <c r="I4" s="37"/>
      <c r="J4" s="37"/>
      <c r="K4" s="37"/>
    </row>
    <row r="5" spans="1:11">
      <c r="D5" s="7" t="s">
        <v>106</v>
      </c>
      <c r="E5" s="12">
        <v>959553</v>
      </c>
      <c r="F5" t="s">
        <v>78</v>
      </c>
    </row>
    <row r="6" spans="1:11">
      <c r="D6" s="7" t="s">
        <v>107</v>
      </c>
      <c r="E6" s="42">
        <v>134.4</v>
      </c>
      <c r="F6" t="s">
        <v>87</v>
      </c>
    </row>
    <row r="7" spans="1:11">
      <c r="D7" s="7" t="s">
        <v>108</v>
      </c>
      <c r="E7" s="42">
        <v>16</v>
      </c>
      <c r="F7" t="s">
        <v>100</v>
      </c>
    </row>
    <row r="8" spans="1:11">
      <c r="D8" s="7" t="s">
        <v>109</v>
      </c>
      <c r="E8" s="42">
        <v>0.71799999999999997</v>
      </c>
    </row>
    <row r="9" spans="1:11">
      <c r="D9" s="7" t="s">
        <v>110</v>
      </c>
      <c r="E9" s="42">
        <v>0.21099999999999999</v>
      </c>
    </row>
    <row r="10" spans="1:11">
      <c r="D10" s="7" t="s">
        <v>111</v>
      </c>
      <c r="E10" s="42">
        <v>7.0999999999999994E-2</v>
      </c>
    </row>
    <row r="11" spans="1:11">
      <c r="D11" s="7" t="s">
        <v>112</v>
      </c>
      <c r="E11" s="22">
        <f>SUM(E8:E10)</f>
        <v>0.99999999999999989</v>
      </c>
    </row>
    <row r="12" spans="1:11">
      <c r="A12" s="37"/>
      <c r="B12" s="41" t="s">
        <v>113</v>
      </c>
      <c r="C12" s="36"/>
      <c r="D12" s="36"/>
      <c r="E12" s="36"/>
      <c r="F12" s="36"/>
      <c r="G12" s="37"/>
      <c r="H12" s="37"/>
      <c r="I12" s="37"/>
      <c r="J12" s="37"/>
      <c r="K12" s="37"/>
    </row>
    <row r="13" spans="1:11">
      <c r="B13" s="53"/>
      <c r="C13" s="53"/>
      <c r="D13" s="55" t="s">
        <v>204</v>
      </c>
      <c r="E13" s="42">
        <v>126</v>
      </c>
      <c r="F13" s="53" t="s">
        <v>87</v>
      </c>
    </row>
    <row r="14" spans="1:11" s="53" customFormat="1">
      <c r="D14" s="55" t="s">
        <v>193</v>
      </c>
      <c r="E14" s="42">
        <v>0.3</v>
      </c>
      <c r="F14" s="53" t="s">
        <v>207</v>
      </c>
      <c r="G14"/>
    </row>
    <row r="15" spans="1:11">
      <c r="B15" s="53"/>
      <c r="C15" s="53"/>
      <c r="D15" s="55" t="s">
        <v>80</v>
      </c>
      <c r="E15" s="42">
        <v>0.26500000000000001</v>
      </c>
      <c r="F15" s="53" t="s">
        <v>79</v>
      </c>
    </row>
    <row r="16" spans="1:11">
      <c r="B16" s="53"/>
      <c r="C16" s="53"/>
      <c r="D16" s="55" t="s">
        <v>194</v>
      </c>
      <c r="E16" s="12">
        <v>4085490</v>
      </c>
      <c r="F16" s="53" t="s">
        <v>78</v>
      </c>
      <c r="G16" s="53" t="s">
        <v>268</v>
      </c>
    </row>
    <row r="18" spans="1:11">
      <c r="C18" s="53"/>
      <c r="D18" s="55" t="s">
        <v>195</v>
      </c>
      <c r="E18" s="57">
        <f>E16*E14</f>
        <v>1225647</v>
      </c>
      <c r="F18" s="53"/>
    </row>
    <row r="19" spans="1:11">
      <c r="C19" s="53"/>
      <c r="D19" s="55" t="s">
        <v>196</v>
      </c>
      <c r="E19" s="57">
        <f>E16*(1-E14)</f>
        <v>2859843</v>
      </c>
      <c r="F19" s="53"/>
    </row>
    <row r="20" spans="1:11">
      <c r="C20" s="53"/>
      <c r="D20" s="55" t="s">
        <v>197</v>
      </c>
      <c r="E20" s="57">
        <f>Components!D8*E18*E15/Components!D6</f>
        <v>234010.41163889071</v>
      </c>
      <c r="F20" s="53"/>
    </row>
    <row r="21" spans="1:11">
      <c r="C21" s="53"/>
      <c r="D21" s="53"/>
      <c r="E21" s="58"/>
      <c r="F21" s="53"/>
    </row>
    <row r="22" spans="1:11">
      <c r="C22" s="53"/>
      <c r="D22" s="55" t="s">
        <v>198</v>
      </c>
      <c r="E22" s="57">
        <f>SUM(E18:E20)</f>
        <v>4319500.4116388904</v>
      </c>
      <c r="F22" s="53"/>
    </row>
    <row r="23" spans="1:11">
      <c r="C23" s="53"/>
      <c r="D23" s="53"/>
      <c r="E23" s="58"/>
      <c r="F23" s="53"/>
    </row>
    <row r="24" spans="1:11">
      <c r="C24" s="53"/>
      <c r="D24" s="55" t="s">
        <v>199</v>
      </c>
      <c r="E24" s="59">
        <f>E18/E22</f>
        <v>0.28374739742991922</v>
      </c>
      <c r="F24" s="53"/>
    </row>
    <row r="25" spans="1:11">
      <c r="C25" s="53"/>
      <c r="D25" s="55" t="s">
        <v>200</v>
      </c>
      <c r="E25" s="59">
        <f>E19/E22</f>
        <v>0.66207726066981154</v>
      </c>
      <c r="F25" s="53"/>
    </row>
    <row r="26" spans="1:11">
      <c r="C26" s="53"/>
      <c r="D26" s="55" t="s">
        <v>201</v>
      </c>
      <c r="E26" s="59">
        <f>E20/E22</f>
        <v>5.4175341900269264E-2</v>
      </c>
      <c r="F26" s="53"/>
    </row>
    <row r="27" spans="1:11">
      <c r="A27" s="37"/>
      <c r="B27" s="41" t="s">
        <v>202</v>
      </c>
      <c r="C27" s="36"/>
      <c r="D27" s="36"/>
      <c r="E27" s="36"/>
      <c r="F27" s="36"/>
      <c r="G27" s="37"/>
      <c r="H27" s="37"/>
      <c r="I27" s="37"/>
      <c r="J27" s="37"/>
      <c r="K27" s="37"/>
    </row>
    <row r="28" spans="1:11">
      <c r="D28" s="55" t="s">
        <v>203</v>
      </c>
      <c r="E28" s="12">
        <v>10000</v>
      </c>
      <c r="F28" s="53" t="s">
        <v>78</v>
      </c>
    </row>
    <row r="29" spans="1:11">
      <c r="D29" s="55" t="s">
        <v>205</v>
      </c>
      <c r="E29" s="42">
        <v>5</v>
      </c>
      <c r="F29" s="53" t="s">
        <v>98</v>
      </c>
    </row>
    <row r="30" spans="1:11">
      <c r="D30" s="55" t="s">
        <v>206</v>
      </c>
      <c r="E30" s="42">
        <v>-17.899999999999999</v>
      </c>
      <c r="F30" s="53" t="s">
        <v>87</v>
      </c>
    </row>
    <row r="31" spans="1:11">
      <c r="D31" s="55" t="s">
        <v>99</v>
      </c>
      <c r="E31" s="42">
        <v>17.600000000000001</v>
      </c>
      <c r="F31" s="53" t="s">
        <v>98</v>
      </c>
    </row>
    <row r="33" spans="1:11">
      <c r="D33" s="55" t="s">
        <v>213</v>
      </c>
      <c r="E33" s="58">
        <f>E31-E29</f>
        <v>12.600000000000001</v>
      </c>
      <c r="F33" s="53" t="s">
        <v>98</v>
      </c>
    </row>
    <row r="35" spans="1:11">
      <c r="A35" s="37"/>
      <c r="B35" s="41" t="s">
        <v>257</v>
      </c>
      <c r="C35" s="36"/>
      <c r="D35" s="36"/>
      <c r="E35" s="36"/>
      <c r="F35" s="36"/>
      <c r="G35" s="37"/>
      <c r="H35" s="37"/>
      <c r="I35" s="37"/>
      <c r="J35" s="37"/>
      <c r="K35" s="37"/>
    </row>
    <row r="36" spans="1:11">
      <c r="D36" s="55" t="s">
        <v>258</v>
      </c>
      <c r="E36" s="42">
        <v>110</v>
      </c>
      <c r="F36" s="53" t="s">
        <v>87</v>
      </c>
    </row>
    <row r="37" spans="1:11">
      <c r="D37" s="55" t="s">
        <v>259</v>
      </c>
      <c r="E37" s="42">
        <v>214</v>
      </c>
      <c r="F37" s="53" t="s">
        <v>87</v>
      </c>
    </row>
    <row r="38" spans="1:11">
      <c r="D38" s="55" t="s">
        <v>260</v>
      </c>
      <c r="E38" s="42">
        <v>10</v>
      </c>
      <c r="F38" s="53" t="s">
        <v>98</v>
      </c>
    </row>
    <row r="39" spans="1:11">
      <c r="D39" s="55" t="s">
        <v>261</v>
      </c>
      <c r="E39" s="42">
        <v>23.1</v>
      </c>
      <c r="F39" s="53" t="s">
        <v>100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D185"/>
  <sheetViews>
    <sheetView tabSelected="1" topLeftCell="A13" zoomScale="80" zoomScaleNormal="80" workbookViewId="0">
      <selection activeCell="E37" sqref="E37"/>
    </sheetView>
  </sheetViews>
  <sheetFormatPr defaultRowHeight="15"/>
  <cols>
    <col min="1" max="19" width="19.7109375" customWidth="1"/>
  </cols>
  <sheetData>
    <row r="1" spans="1:30">
      <c r="A1" s="2" t="s">
        <v>4</v>
      </c>
      <c r="B1" s="3" t="s">
        <v>214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>
      <c r="A2" s="2" t="s">
        <v>1</v>
      </c>
      <c r="B2" s="5">
        <v>40914.615451388891</v>
      </c>
      <c r="C2" s="4"/>
      <c r="D2" s="1"/>
      <c r="E2" s="1"/>
      <c r="F2" s="1"/>
      <c r="G2" s="1"/>
      <c r="H2" s="44" t="s">
        <v>115</v>
      </c>
      <c r="I2" s="1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>
      <c r="A3" s="2" t="s">
        <v>0</v>
      </c>
      <c r="B3" s="5">
        <v>40914.615624999999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>
      <c r="A4" s="2" t="s">
        <v>2</v>
      </c>
      <c r="B4" s="6">
        <f>(B3-B2)*24*60</f>
        <v>0.24999999557621777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>
      <c r="A5" s="2" t="s">
        <v>3</v>
      </c>
      <c r="B5" s="1">
        <v>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7" spans="1:30">
      <c r="A7" s="53" t="s">
        <v>38</v>
      </c>
      <c r="B7" s="53" t="s">
        <v>5</v>
      </c>
    </row>
    <row r="8" spans="1:30">
      <c r="A8" s="53" t="s">
        <v>6</v>
      </c>
      <c r="B8" s="53" t="s">
        <v>7</v>
      </c>
    </row>
    <row r="9" spans="1:30">
      <c r="A9" s="53" t="s">
        <v>8</v>
      </c>
      <c r="B9" s="8">
        <v>40514</v>
      </c>
    </row>
    <row r="10" spans="1:30">
      <c r="A10" s="53" t="s">
        <v>9</v>
      </c>
      <c r="B10" s="53" t="s">
        <v>215</v>
      </c>
    </row>
    <row r="11" spans="1:30">
      <c r="A11" s="53" t="s">
        <v>10</v>
      </c>
      <c r="B11" s="53" t="s">
        <v>216</v>
      </c>
    </row>
    <row r="14" spans="1:30">
      <c r="B14" s="53" t="s">
        <v>14</v>
      </c>
      <c r="C14" s="11">
        <v>15</v>
      </c>
      <c r="D14" s="53" t="s">
        <v>15</v>
      </c>
      <c r="G14" s="53" t="s">
        <v>39</v>
      </c>
      <c r="H14" s="16">
        <v>-58687309.200000003</v>
      </c>
      <c r="I14" s="53" t="s">
        <v>40</v>
      </c>
    </row>
    <row r="15" spans="1:30">
      <c r="B15" s="53" t="s">
        <v>81</v>
      </c>
      <c r="C15" s="11">
        <f>Input!E29</f>
        <v>5</v>
      </c>
      <c r="D15" s="53" t="s">
        <v>82</v>
      </c>
      <c r="G15" s="53" t="s">
        <v>89</v>
      </c>
      <c r="H15" s="18">
        <v>0.30000540199999998</v>
      </c>
      <c r="I15" s="53" t="s">
        <v>90</v>
      </c>
    </row>
    <row r="16" spans="1:30">
      <c r="B16" s="53" t="s">
        <v>83</v>
      </c>
      <c r="C16" s="11">
        <f>Input!E33</f>
        <v>12.600000000000001</v>
      </c>
      <c r="D16" s="53" t="s">
        <v>84</v>
      </c>
      <c r="G16" s="53" t="s">
        <v>91</v>
      </c>
      <c r="H16" s="18">
        <v>0.80007070499999999</v>
      </c>
      <c r="I16" s="53" t="s">
        <v>92</v>
      </c>
    </row>
    <row r="17" spans="2:18">
      <c r="B17" s="53" t="s">
        <v>85</v>
      </c>
      <c r="C17" s="11">
        <f>Input!E30</f>
        <v>-17.899999999999999</v>
      </c>
      <c r="D17" s="53" t="s">
        <v>86</v>
      </c>
      <c r="G17" s="53" t="s">
        <v>117</v>
      </c>
      <c r="H17" s="15">
        <v>26.32</v>
      </c>
      <c r="I17" s="53" t="s">
        <v>116</v>
      </c>
    </row>
    <row r="18" spans="2:18">
      <c r="B18" s="53" t="s">
        <v>77</v>
      </c>
      <c r="C18" s="11">
        <v>30</v>
      </c>
      <c r="D18" s="53" t="s">
        <v>16</v>
      </c>
      <c r="G18" s="53" t="s">
        <v>169</v>
      </c>
      <c r="H18" s="15"/>
      <c r="I18" s="53" t="s">
        <v>170</v>
      </c>
    </row>
    <row r="19" spans="2:18">
      <c r="B19" s="53" t="s">
        <v>223</v>
      </c>
      <c r="C19" s="10">
        <f>Input!E15</f>
        <v>0.26500000000000001</v>
      </c>
      <c r="D19" s="53" t="s">
        <v>224</v>
      </c>
      <c r="G19" s="53" t="s">
        <v>235</v>
      </c>
      <c r="H19" s="15"/>
      <c r="I19" s="53" t="s">
        <v>236</v>
      </c>
    </row>
    <row r="20" spans="2:18">
      <c r="B20" s="53" t="s">
        <v>225</v>
      </c>
      <c r="C20" s="11">
        <f>Input!E39</f>
        <v>23.1</v>
      </c>
      <c r="D20" s="53" t="s">
        <v>226</v>
      </c>
      <c r="G20" s="53" t="s">
        <v>237</v>
      </c>
      <c r="H20" s="15"/>
      <c r="I20" s="53" t="s">
        <v>228</v>
      </c>
    </row>
    <row r="21" spans="2:18">
      <c r="B21" s="53" t="s">
        <v>227</v>
      </c>
      <c r="C21" s="11">
        <f>Input!E36</f>
        <v>110</v>
      </c>
      <c r="D21" s="53" t="s">
        <v>228</v>
      </c>
      <c r="G21" s="53" t="s">
        <v>238</v>
      </c>
      <c r="H21" s="16"/>
      <c r="I21" s="53" t="s">
        <v>239</v>
      </c>
    </row>
    <row r="22" spans="2:18">
      <c r="B22" s="53" t="s">
        <v>229</v>
      </c>
      <c r="C22" s="11">
        <f>Input!E38</f>
        <v>10</v>
      </c>
      <c r="D22" s="53" t="s">
        <v>230</v>
      </c>
      <c r="G22" s="53" t="s">
        <v>240</v>
      </c>
      <c r="H22" s="16"/>
      <c r="I22" s="53" t="s">
        <v>241</v>
      </c>
    </row>
    <row r="23" spans="2:18">
      <c r="B23" s="53" t="s">
        <v>231</v>
      </c>
      <c r="C23" s="11">
        <f>Input!E13</f>
        <v>126</v>
      </c>
      <c r="D23" s="53" t="s">
        <v>232</v>
      </c>
      <c r="G23" s="53" t="s">
        <v>242</v>
      </c>
      <c r="H23" s="15">
        <v>214</v>
      </c>
      <c r="I23" s="53" t="s">
        <v>243</v>
      </c>
    </row>
    <row r="24" spans="2:18">
      <c r="B24" s="53" t="s">
        <v>233</v>
      </c>
      <c r="C24" s="11">
        <f>Input!E37</f>
        <v>214</v>
      </c>
      <c r="D24" s="53" t="s">
        <v>234</v>
      </c>
      <c r="G24" s="53" t="s">
        <v>244</v>
      </c>
      <c r="H24" s="16">
        <v>-994564708</v>
      </c>
      <c r="I24" s="53" t="s">
        <v>245</v>
      </c>
    </row>
    <row r="25" spans="2:18">
      <c r="G25" s="53" t="s">
        <v>246</v>
      </c>
      <c r="H25" s="16">
        <v>-879220771</v>
      </c>
      <c r="I25" s="53" t="s">
        <v>247</v>
      </c>
    </row>
    <row r="26" spans="2:18">
      <c r="G26" s="53" t="s">
        <v>248</v>
      </c>
      <c r="H26" s="18">
        <v>0.79995213300000001</v>
      </c>
      <c r="I26" s="53" t="s">
        <v>249</v>
      </c>
    </row>
    <row r="27" spans="2:18">
      <c r="G27" s="53" t="s">
        <v>250</v>
      </c>
      <c r="H27" s="15">
        <v>17.37</v>
      </c>
      <c r="I27" s="53" t="s">
        <v>251</v>
      </c>
    </row>
    <row r="29" spans="2:18">
      <c r="C29" s="53" t="s">
        <v>11</v>
      </c>
      <c r="D29" s="53" t="s">
        <v>12</v>
      </c>
      <c r="E29" s="53" t="s">
        <v>13</v>
      </c>
      <c r="F29" s="53" t="s">
        <v>20</v>
      </c>
      <c r="G29" s="53" t="s">
        <v>21</v>
      </c>
      <c r="H29" s="53" t="s">
        <v>22</v>
      </c>
      <c r="I29" s="53" t="s">
        <v>23</v>
      </c>
      <c r="J29" s="53" t="s">
        <v>24</v>
      </c>
      <c r="K29" s="53" t="s">
        <v>25</v>
      </c>
      <c r="L29" s="53" t="s">
        <v>26</v>
      </c>
      <c r="M29" s="53" t="s">
        <v>27</v>
      </c>
      <c r="N29" s="53" t="s">
        <v>28</v>
      </c>
      <c r="O29" s="53" t="s">
        <v>29</v>
      </c>
      <c r="P29" s="53" t="s">
        <v>30</v>
      </c>
      <c r="Q29" s="53" t="s">
        <v>31</v>
      </c>
      <c r="R29" s="53" t="s">
        <v>32</v>
      </c>
    </row>
    <row r="30" spans="2:18">
      <c r="B30" s="53" t="s">
        <v>17</v>
      </c>
      <c r="C30" s="11">
        <v>200</v>
      </c>
      <c r="D30" s="11">
        <v>200</v>
      </c>
      <c r="E30" s="12">
        <f>Input!E5</f>
        <v>959553</v>
      </c>
      <c r="F30" s="9">
        <f>Input!E10</f>
        <v>7.0999999999999994E-2</v>
      </c>
      <c r="G30" s="13">
        <v>0</v>
      </c>
      <c r="H30" s="13">
        <v>0</v>
      </c>
      <c r="I30" s="10">
        <f>Input!E9</f>
        <v>0.21099999999999999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  <c r="P30" s="13">
        <v>0</v>
      </c>
      <c r="Q30" s="13">
        <v>0</v>
      </c>
      <c r="R30" s="10">
        <f>Input!E8</f>
        <v>0.71799999999999997</v>
      </c>
    </row>
    <row r="31" spans="2:18">
      <c r="B31" s="53" t="s">
        <v>18</v>
      </c>
      <c r="C31" s="11">
        <v>200</v>
      </c>
      <c r="D31" s="11">
        <v>200</v>
      </c>
      <c r="E31" s="12">
        <f>Input!E22</f>
        <v>4319500.4116388904</v>
      </c>
      <c r="F31" s="10">
        <f>Input!E25</f>
        <v>0.66207726066981154</v>
      </c>
      <c r="G31" s="10">
        <f>Input!E24</f>
        <v>0.28374739742991922</v>
      </c>
      <c r="H31" s="13">
        <v>0</v>
      </c>
      <c r="I31" s="9">
        <f>Input!E26</f>
        <v>5.4175341900269264E-2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</row>
    <row r="32" spans="2:18">
      <c r="B32" s="53" t="s">
        <v>19</v>
      </c>
      <c r="C32" s="11">
        <v>2000</v>
      </c>
      <c r="D32" s="11">
        <v>200</v>
      </c>
      <c r="E32" s="12">
        <f>Input!E28</f>
        <v>10000</v>
      </c>
      <c r="F32" s="11">
        <v>1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</row>
    <row r="34" spans="1:18">
      <c r="C34" s="53" t="s">
        <v>11</v>
      </c>
      <c r="D34" s="53" t="s">
        <v>12</v>
      </c>
      <c r="E34" s="53" t="s">
        <v>13</v>
      </c>
      <c r="F34" s="53" t="s">
        <v>20</v>
      </c>
      <c r="G34" s="53" t="s">
        <v>21</v>
      </c>
      <c r="H34" s="53" t="s">
        <v>22</v>
      </c>
      <c r="I34" s="53" t="s">
        <v>23</v>
      </c>
      <c r="J34" s="53" t="s">
        <v>24</v>
      </c>
      <c r="K34" s="53" t="s">
        <v>25</v>
      </c>
      <c r="L34" s="53" t="s">
        <v>26</v>
      </c>
      <c r="M34" s="53" t="s">
        <v>27</v>
      </c>
      <c r="N34" s="53" t="s">
        <v>28</v>
      </c>
      <c r="O34" s="53" t="s">
        <v>29</v>
      </c>
      <c r="P34" s="53" t="s">
        <v>30</v>
      </c>
      <c r="Q34" s="53" t="s">
        <v>31</v>
      </c>
      <c r="R34" s="53" t="s">
        <v>32</v>
      </c>
    </row>
    <row r="35" spans="1:18">
      <c r="B35" s="53" t="s">
        <v>44</v>
      </c>
      <c r="C35" s="15">
        <v>200</v>
      </c>
      <c r="D35" s="15">
        <v>200</v>
      </c>
      <c r="E35" s="16">
        <v>4319500.41</v>
      </c>
      <c r="F35" s="18">
        <v>0.66207726099999997</v>
      </c>
      <c r="G35" s="17">
        <v>0.28374739700000001</v>
      </c>
      <c r="H35" s="14">
        <v>0</v>
      </c>
      <c r="I35" s="14">
        <v>5.41753419E-2</v>
      </c>
      <c r="J35" s="17">
        <v>0</v>
      </c>
      <c r="K35" s="18">
        <v>0</v>
      </c>
      <c r="L35" s="17">
        <v>0</v>
      </c>
      <c r="M35" s="17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</row>
    <row r="36" spans="1:18">
      <c r="B36" s="53" t="s">
        <v>33</v>
      </c>
      <c r="C36" s="15">
        <v>200</v>
      </c>
      <c r="D36" s="15">
        <v>200</v>
      </c>
      <c r="E36" s="16">
        <v>959553</v>
      </c>
      <c r="F36" s="17">
        <v>7.0999999999999994E-2</v>
      </c>
      <c r="G36" s="14">
        <v>0</v>
      </c>
      <c r="H36" s="14">
        <v>0</v>
      </c>
      <c r="I36" s="18">
        <v>0.21099999999999999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8">
        <v>0.71799999999999997</v>
      </c>
    </row>
    <row r="37" spans="1:18">
      <c r="B37" s="53" t="s">
        <v>34</v>
      </c>
      <c r="C37" s="15">
        <v>2000</v>
      </c>
      <c r="D37" s="15">
        <v>200</v>
      </c>
      <c r="E37" s="16">
        <v>10000</v>
      </c>
      <c r="F37" s="18">
        <v>1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</row>
    <row r="38" spans="1:18">
      <c r="B38" s="53" t="s">
        <v>35</v>
      </c>
      <c r="C38" s="15">
        <v>80.330003399999995</v>
      </c>
      <c r="D38" s="15">
        <v>15</v>
      </c>
      <c r="E38" s="16">
        <v>2644526.71</v>
      </c>
      <c r="F38" s="18">
        <v>0.55548148900000005</v>
      </c>
      <c r="G38" s="14">
        <v>0.23173277</v>
      </c>
      <c r="H38" s="14">
        <v>0</v>
      </c>
      <c r="I38" s="17">
        <v>8.2524425600000006E-2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8">
        <v>0.13026131499999999</v>
      </c>
    </row>
    <row r="39" spans="1:18">
      <c r="B39" s="53" t="s">
        <v>36</v>
      </c>
      <c r="C39" s="15">
        <v>80.330003399999995</v>
      </c>
      <c r="D39" s="15">
        <v>15.1344867</v>
      </c>
      <c r="E39" s="16">
        <v>2644526.71</v>
      </c>
      <c r="F39" s="18">
        <v>0.55548148900000005</v>
      </c>
      <c r="G39" s="17">
        <v>0.23173277</v>
      </c>
      <c r="H39" s="14">
        <v>0</v>
      </c>
      <c r="I39" s="14">
        <v>8.2524425600000006E-2</v>
      </c>
      <c r="J39" s="17">
        <v>0</v>
      </c>
      <c r="K39" s="18">
        <v>0</v>
      </c>
      <c r="L39" s="18">
        <v>0</v>
      </c>
      <c r="M39" s="17">
        <v>0</v>
      </c>
      <c r="N39" s="14">
        <v>0</v>
      </c>
      <c r="O39" s="14">
        <v>0</v>
      </c>
      <c r="P39" s="14">
        <v>0</v>
      </c>
      <c r="Q39" s="14">
        <v>0</v>
      </c>
      <c r="R39" s="17">
        <v>0.13026131499999999</v>
      </c>
    </row>
    <row r="40" spans="1:18">
      <c r="B40" s="53" t="s">
        <v>37</v>
      </c>
      <c r="C40" s="15">
        <v>80.330003399999995</v>
      </c>
      <c r="D40" s="15">
        <v>15.1344867</v>
      </c>
      <c r="E40" s="16">
        <v>2644526.71</v>
      </c>
      <c r="F40" s="18">
        <v>0.55548148900000005</v>
      </c>
      <c r="G40" s="17">
        <v>0.23173277</v>
      </c>
      <c r="H40" s="14">
        <v>0</v>
      </c>
      <c r="I40" s="14">
        <v>8.2524425600000006E-2</v>
      </c>
      <c r="J40" s="17">
        <v>0</v>
      </c>
      <c r="K40" s="18">
        <v>0</v>
      </c>
      <c r="L40" s="18">
        <v>0</v>
      </c>
      <c r="M40" s="17">
        <v>0</v>
      </c>
      <c r="N40" s="14">
        <v>0</v>
      </c>
      <c r="O40" s="14">
        <v>0</v>
      </c>
      <c r="P40" s="14">
        <v>0</v>
      </c>
      <c r="Q40" s="14">
        <v>0</v>
      </c>
      <c r="R40" s="17">
        <v>0.13026131499999999</v>
      </c>
    </row>
    <row r="41" spans="1:18">
      <c r="B41" s="53" t="s">
        <v>217</v>
      </c>
      <c r="C41" s="15">
        <v>214</v>
      </c>
      <c r="D41" s="15">
        <v>15.1344867</v>
      </c>
      <c r="E41" s="16">
        <v>2644526.71</v>
      </c>
      <c r="F41" s="18">
        <v>0.55517374100000005</v>
      </c>
      <c r="G41" s="17">
        <v>0.12877707999999999</v>
      </c>
      <c r="H41" s="14">
        <v>0</v>
      </c>
      <c r="I41" s="17">
        <v>4.5100743800000002E-2</v>
      </c>
      <c r="J41" s="17">
        <v>9.3096257400000001E-4</v>
      </c>
      <c r="K41" s="18">
        <v>8.6732983400000005E-2</v>
      </c>
      <c r="L41" s="18">
        <v>5.2909790700000001E-2</v>
      </c>
      <c r="M41" s="17">
        <v>1.06867184E-4</v>
      </c>
      <c r="N41" s="14">
        <v>0</v>
      </c>
      <c r="O41" s="14">
        <v>0</v>
      </c>
      <c r="P41" s="14">
        <v>5.2754977299999999E-11</v>
      </c>
      <c r="Q41" s="14">
        <v>7.5760756399999997E-7</v>
      </c>
      <c r="R41" s="17">
        <v>0.13026131499999999</v>
      </c>
    </row>
    <row r="42" spans="1:18">
      <c r="B42" s="53" t="s">
        <v>218</v>
      </c>
      <c r="C42" s="15">
        <v>234.216927</v>
      </c>
      <c r="D42" s="15">
        <v>23.1</v>
      </c>
      <c r="E42" s="16">
        <v>1421521.89</v>
      </c>
      <c r="F42" s="18">
        <v>0.511071422</v>
      </c>
      <c r="G42" s="18">
        <v>0.246862208</v>
      </c>
      <c r="H42" s="14">
        <v>0</v>
      </c>
      <c r="I42" s="17">
        <v>4.57091633E-5</v>
      </c>
      <c r="J42" s="17">
        <v>1.8879274100000001E-3</v>
      </c>
      <c r="K42" s="18">
        <v>0.148815219</v>
      </c>
      <c r="L42" s="17">
        <v>9.09949761E-2</v>
      </c>
      <c r="M42" s="17">
        <v>1.42874578E-4</v>
      </c>
      <c r="N42" s="14">
        <v>0</v>
      </c>
      <c r="O42" s="14">
        <v>0</v>
      </c>
      <c r="P42" s="14">
        <v>1.4010215E-10</v>
      </c>
      <c r="Q42" s="14">
        <v>1.62705025E-6</v>
      </c>
      <c r="R42" s="14">
        <v>1.78036302E-4</v>
      </c>
    </row>
    <row r="43" spans="1:18">
      <c r="B43" s="53" t="s">
        <v>219</v>
      </c>
      <c r="C43" s="15">
        <v>300</v>
      </c>
      <c r="D43" s="15">
        <v>23.1</v>
      </c>
      <c r="E43" s="16">
        <v>1421521.89</v>
      </c>
      <c r="F43" s="18">
        <v>0.51165592299999996</v>
      </c>
      <c r="G43" s="17">
        <v>0.38304349999999998</v>
      </c>
      <c r="H43" s="14">
        <v>0</v>
      </c>
      <c r="I43" s="14">
        <v>4.9762548099999998E-2</v>
      </c>
      <c r="J43" s="17">
        <v>5.6485099100000001E-5</v>
      </c>
      <c r="K43" s="18">
        <v>3.4604137700000002E-2</v>
      </c>
      <c r="L43" s="17">
        <v>2.07047575E-2</v>
      </c>
      <c r="M43" s="17">
        <v>1.9978810099999999E-6</v>
      </c>
      <c r="N43" s="14">
        <v>0</v>
      </c>
      <c r="O43" s="14">
        <v>0</v>
      </c>
      <c r="P43" s="14">
        <v>9.0154944800000008E-12</v>
      </c>
      <c r="Q43" s="14">
        <v>2.2802095E-7</v>
      </c>
      <c r="R43" s="14">
        <v>1.78036302E-4</v>
      </c>
    </row>
    <row r="44" spans="1:18">
      <c r="B44" s="53" t="s">
        <v>220</v>
      </c>
      <c r="C44" s="15">
        <v>126</v>
      </c>
      <c r="D44" s="15">
        <v>23.1</v>
      </c>
      <c r="E44" s="16">
        <v>1421532.71</v>
      </c>
      <c r="F44" s="18">
        <v>0.51137101299999999</v>
      </c>
      <c r="G44" s="17">
        <v>0.245267185</v>
      </c>
      <c r="H44" s="14">
        <v>0</v>
      </c>
      <c r="I44" s="14">
        <v>1.8799889700000001E-7</v>
      </c>
      <c r="J44" s="17">
        <v>4.2539641200000001E-4</v>
      </c>
      <c r="K44" s="18">
        <v>0.15067966899999999</v>
      </c>
      <c r="L44" s="17">
        <v>9.1500749199999995E-2</v>
      </c>
      <c r="M44" s="17">
        <v>5.6768458799999998E-4</v>
      </c>
      <c r="N44" s="14">
        <v>0</v>
      </c>
      <c r="O44" s="14">
        <v>0</v>
      </c>
      <c r="P44" s="14">
        <v>5.2978519199999997E-12</v>
      </c>
      <c r="Q44" s="14">
        <v>2.3739790899999998E-6</v>
      </c>
      <c r="R44" s="14">
        <v>1.78034946E-4</v>
      </c>
    </row>
    <row r="45" spans="1:18">
      <c r="B45" s="53" t="s">
        <v>221</v>
      </c>
      <c r="C45" s="15">
        <v>234.216927</v>
      </c>
      <c r="D45" s="15">
        <v>23.1</v>
      </c>
      <c r="E45" s="16">
        <v>1222990.76</v>
      </c>
      <c r="F45" s="17">
        <v>0.60640739099999996</v>
      </c>
      <c r="G45" s="14">
        <v>8.5803730699999994E-3</v>
      </c>
      <c r="H45" s="14">
        <v>0</v>
      </c>
      <c r="I45" s="18">
        <v>0.103549402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7">
        <v>0.28146283300000002</v>
      </c>
    </row>
    <row r="47" spans="1:18">
      <c r="A47" s="53" t="s">
        <v>265</v>
      </c>
      <c r="C47" s="53" t="s">
        <v>42</v>
      </c>
      <c r="D47" s="53" t="s">
        <v>43</v>
      </c>
      <c r="E47" s="53" t="s">
        <v>12</v>
      </c>
    </row>
    <row r="48" spans="1:18">
      <c r="B48" s="53" t="s">
        <v>41</v>
      </c>
      <c r="C48" s="15">
        <v>145.48668499999999</v>
      </c>
      <c r="D48" s="15">
        <v>145.50240199999999</v>
      </c>
      <c r="E48" s="15">
        <v>15</v>
      </c>
    </row>
    <row r="49" spans="2:5">
      <c r="B49">
        <v>2</v>
      </c>
      <c r="C49" s="15">
        <v>145.571338</v>
      </c>
      <c r="D49" s="15">
        <v>145.571392</v>
      </c>
      <c r="E49" s="15">
        <v>15.004960000000001</v>
      </c>
    </row>
    <row r="50" spans="2:5">
      <c r="B50">
        <v>3</v>
      </c>
      <c r="C50" s="15">
        <v>145.59257299999999</v>
      </c>
      <c r="D50" s="15">
        <v>145.59258199999999</v>
      </c>
      <c r="E50" s="15">
        <v>15.009922299999999</v>
      </c>
    </row>
    <row r="51" spans="2:5">
      <c r="B51">
        <v>4</v>
      </c>
      <c r="C51" s="15">
        <v>145.87501</v>
      </c>
      <c r="D51" s="15">
        <v>145.87517700000001</v>
      </c>
      <c r="E51" s="15">
        <v>15.014882999999999</v>
      </c>
    </row>
    <row r="52" spans="2:5">
      <c r="B52" s="53" t="s">
        <v>88</v>
      </c>
      <c r="C52" s="15">
        <v>135.43697</v>
      </c>
      <c r="D52" s="15">
        <v>151.36796100000001</v>
      </c>
      <c r="E52" s="15">
        <v>15.0198403</v>
      </c>
    </row>
    <row r="53" spans="2:5">
      <c r="B53">
        <v>6</v>
      </c>
      <c r="C53" s="15">
        <v>144.54374100000001</v>
      </c>
      <c r="D53" s="15">
        <v>156.737314</v>
      </c>
      <c r="E53" s="15">
        <v>15.0220555</v>
      </c>
    </row>
    <row r="54" spans="2:5">
      <c r="B54">
        <v>7</v>
      </c>
      <c r="C54" s="15">
        <v>152.490206</v>
      </c>
      <c r="D54" s="15">
        <v>160.73903999999999</v>
      </c>
      <c r="E54" s="15">
        <v>15.024547500000001</v>
      </c>
    </row>
    <row r="55" spans="2:5">
      <c r="B55">
        <v>8</v>
      </c>
      <c r="C55" s="15">
        <v>158.62267299999999</v>
      </c>
      <c r="D55" s="15">
        <v>163.389522</v>
      </c>
      <c r="E55" s="15">
        <v>15.027652</v>
      </c>
    </row>
    <row r="56" spans="2:5">
      <c r="B56">
        <v>9</v>
      </c>
      <c r="C56" s="15">
        <v>162.800488</v>
      </c>
      <c r="D56" s="15">
        <v>164.88344900000001</v>
      </c>
      <c r="E56" s="15">
        <v>15.0313778</v>
      </c>
    </row>
    <row r="57" spans="2:5">
      <c r="B57">
        <v>10</v>
      </c>
      <c r="C57" s="15">
        <v>165.30145899999999</v>
      </c>
      <c r="D57" s="15">
        <v>165.49065400000001</v>
      </c>
      <c r="E57" s="15">
        <v>15.035640600000001</v>
      </c>
    </row>
    <row r="58" spans="2:5">
      <c r="B58">
        <v>11</v>
      </c>
      <c r="C58" s="15">
        <v>166.55557400000001</v>
      </c>
      <c r="D58" s="15">
        <v>165.46600000000001</v>
      </c>
      <c r="E58" s="15">
        <v>15.040293699999999</v>
      </c>
    </row>
    <row r="59" spans="2:5">
      <c r="B59">
        <v>12</v>
      </c>
      <c r="C59" s="15">
        <v>166.95788899999999</v>
      </c>
      <c r="D59" s="15">
        <v>165.007071</v>
      </c>
      <c r="E59" s="15">
        <v>15.045182199999999</v>
      </c>
    </row>
    <row r="60" spans="2:5">
      <c r="B60">
        <v>13</v>
      </c>
      <c r="C60" s="15">
        <v>166.79771</v>
      </c>
      <c r="D60" s="15">
        <v>164.249112</v>
      </c>
      <c r="E60" s="15">
        <v>15.0501781</v>
      </c>
    </row>
    <row r="61" spans="2:5">
      <c r="B61">
        <v>14</v>
      </c>
      <c r="C61" s="15">
        <v>166.267607</v>
      </c>
      <c r="D61" s="15">
        <v>163.27799400000001</v>
      </c>
      <c r="E61" s="15">
        <v>15.055189800000001</v>
      </c>
    </row>
    <row r="62" spans="2:5">
      <c r="B62">
        <v>15</v>
      </c>
      <c r="C62" s="15">
        <v>165.48764499999999</v>
      </c>
      <c r="D62" s="15">
        <v>162.144837</v>
      </c>
      <c r="E62" s="15">
        <v>15.060156299999999</v>
      </c>
    </row>
    <row r="63" spans="2:5">
      <c r="B63">
        <v>16</v>
      </c>
      <c r="C63" s="15">
        <v>164.52982600000001</v>
      </c>
      <c r="D63" s="15">
        <v>160.877848</v>
      </c>
      <c r="E63" s="15">
        <v>15.065038899999999</v>
      </c>
    </row>
    <row r="64" spans="2:5">
      <c r="B64">
        <v>17</v>
      </c>
      <c r="C64" s="15">
        <v>163.43583799999999</v>
      </c>
      <c r="D64" s="15">
        <v>159.49036599999999</v>
      </c>
      <c r="E64" s="15">
        <v>15.069812499999999</v>
      </c>
    </row>
    <row r="65" spans="2:5">
      <c r="B65">
        <v>18</v>
      </c>
      <c r="C65" s="15">
        <v>162.2285</v>
      </c>
      <c r="D65" s="15">
        <v>157.985838</v>
      </c>
      <c r="E65" s="15">
        <v>15.0744612</v>
      </c>
    </row>
    <row r="66" spans="2:5">
      <c r="B66">
        <v>19</v>
      </c>
      <c r="C66" s="15">
        <v>160.918643</v>
      </c>
      <c r="D66" s="15">
        <v>156.36070000000001</v>
      </c>
      <c r="E66" s="15">
        <v>15.078974000000001</v>
      </c>
    </row>
    <row r="67" spans="2:5">
      <c r="B67">
        <v>20</v>
      </c>
      <c r="C67" s="15">
        <v>159.50901400000001</v>
      </c>
      <c r="D67" s="15">
        <v>154.60593</v>
      </c>
      <c r="E67" s="15">
        <v>15.0833431</v>
      </c>
    </row>
    <row r="68" spans="2:5">
      <c r="B68">
        <v>21</v>
      </c>
      <c r="C68" s="15">
        <v>157.99632399999999</v>
      </c>
      <c r="D68" s="15">
        <v>152.707808</v>
      </c>
      <c r="E68" s="15">
        <v>15.087562500000001</v>
      </c>
    </row>
    <row r="69" spans="2:5">
      <c r="B69">
        <v>22</v>
      </c>
      <c r="C69" s="15">
        <v>156.37211199999999</v>
      </c>
      <c r="D69" s="15">
        <v>150.648211</v>
      </c>
      <c r="E69" s="15">
        <v>15.0916271</v>
      </c>
    </row>
    <row r="70" spans="2:5">
      <c r="B70">
        <v>23</v>
      </c>
      <c r="C70" s="15">
        <v>154.62280799999999</v>
      </c>
      <c r="D70" s="15">
        <v>148.40471199999999</v>
      </c>
      <c r="E70" s="15">
        <v>15.0955324</v>
      </c>
    </row>
    <row r="71" spans="2:5">
      <c r="B71">
        <v>24</v>
      </c>
      <c r="C71" s="15">
        <v>152.729174</v>
      </c>
      <c r="D71" s="15">
        <v>145.950658</v>
      </c>
      <c r="E71" s="15">
        <v>15.099273699999999</v>
      </c>
    </row>
    <row r="72" spans="2:5">
      <c r="B72" s="53" t="s">
        <v>222</v>
      </c>
      <c r="C72" s="15">
        <v>150.66511800000001</v>
      </c>
      <c r="D72" s="15">
        <v>143.25546499999999</v>
      </c>
      <c r="E72" s="15">
        <v>15.102846</v>
      </c>
    </row>
    <row r="73" spans="2:5">
      <c r="B73">
        <v>26</v>
      </c>
      <c r="C73" s="15">
        <v>148.39577199999999</v>
      </c>
      <c r="D73" s="15">
        <v>140.28545099999999</v>
      </c>
      <c r="E73" s="15">
        <v>15.1062441</v>
      </c>
    </row>
    <row r="74" spans="2:5">
      <c r="B74" s="55">
        <v>27</v>
      </c>
      <c r="C74" s="15">
        <v>145.87451999999999</v>
      </c>
      <c r="D74" s="15">
        <v>137.005698</v>
      </c>
      <c r="E74" s="15">
        <v>15.1094618</v>
      </c>
    </row>
    <row r="75" spans="2:5">
      <c r="B75" s="55">
        <v>28</v>
      </c>
      <c r="C75" s="15">
        <v>131.379132</v>
      </c>
      <c r="D75" s="15">
        <v>133.38384300000001</v>
      </c>
      <c r="E75" s="15">
        <v>15.112492400000001</v>
      </c>
    </row>
    <row r="76" spans="2:5">
      <c r="B76">
        <v>29</v>
      </c>
      <c r="C76" s="15">
        <v>133.34350900000001</v>
      </c>
      <c r="D76" s="15">
        <v>134.04840899999999</v>
      </c>
      <c r="E76" s="15">
        <v>15.1153937</v>
      </c>
    </row>
    <row r="77" spans="2:5">
      <c r="B77">
        <v>30</v>
      </c>
      <c r="C77" s="15">
        <v>134.308605</v>
      </c>
      <c r="D77" s="15">
        <v>134.25649899999999</v>
      </c>
      <c r="E77" s="15">
        <v>15.1184981</v>
      </c>
    </row>
    <row r="78" spans="2:5">
      <c r="B78">
        <v>31</v>
      </c>
      <c r="C78" s="15">
        <v>134.588975</v>
      </c>
      <c r="D78" s="15">
        <v>134.19990200000001</v>
      </c>
      <c r="E78" s="15">
        <v>15.121721300000001</v>
      </c>
    </row>
    <row r="79" spans="2:5">
      <c r="B79">
        <v>32</v>
      </c>
      <c r="C79" s="15">
        <v>134.39041499999999</v>
      </c>
      <c r="D79" s="15">
        <v>134.03249199999999</v>
      </c>
      <c r="E79" s="15">
        <v>15.1250015</v>
      </c>
    </row>
    <row r="80" spans="2:5">
      <c r="B80">
        <v>33</v>
      </c>
      <c r="C80" s="15">
        <v>133.838616</v>
      </c>
      <c r="D80" s="15">
        <v>133.894936</v>
      </c>
      <c r="E80" s="15">
        <v>15.1282956</v>
      </c>
    </row>
    <row r="81" spans="1:5">
      <c r="B81">
        <v>34</v>
      </c>
      <c r="C81" s="15">
        <v>133.00330500000001</v>
      </c>
      <c r="D81" s="15">
        <v>133.939639</v>
      </c>
      <c r="E81" s="15">
        <v>15.1315746</v>
      </c>
    </row>
    <row r="83" spans="1:5">
      <c r="A83" s="53" t="s">
        <v>266</v>
      </c>
      <c r="C83" s="53" t="s">
        <v>42</v>
      </c>
      <c r="D83" s="53" t="s">
        <v>43</v>
      </c>
      <c r="E83" s="53" t="s">
        <v>12</v>
      </c>
    </row>
    <row r="84" spans="1:5">
      <c r="B84" s="53" t="s">
        <v>252</v>
      </c>
      <c r="C84" s="15">
        <v>110</v>
      </c>
      <c r="D84" s="15">
        <v>110</v>
      </c>
      <c r="E84" s="15">
        <v>23.1</v>
      </c>
    </row>
    <row r="85" spans="1:5">
      <c r="B85">
        <v>2</v>
      </c>
      <c r="C85" s="15">
        <v>207.915628</v>
      </c>
      <c r="D85" s="15">
        <v>208.72589600000001</v>
      </c>
      <c r="E85" s="15">
        <v>23.1</v>
      </c>
    </row>
    <row r="86" spans="1:5">
      <c r="B86">
        <v>3</v>
      </c>
      <c r="C86" s="15">
        <v>208.57691600000001</v>
      </c>
      <c r="D86" s="15">
        <v>209.16193000000001</v>
      </c>
      <c r="E86" s="15">
        <v>23.101227999999999</v>
      </c>
    </row>
    <row r="87" spans="1:5">
      <c r="B87">
        <v>4</v>
      </c>
      <c r="C87" s="15">
        <v>208.97150300000001</v>
      </c>
      <c r="D87" s="15">
        <v>209.49914899999999</v>
      </c>
      <c r="E87" s="15">
        <v>23.102507899999999</v>
      </c>
    </row>
    <row r="88" spans="1:5">
      <c r="B88">
        <v>5</v>
      </c>
      <c r="C88" s="15">
        <v>209.24977999999999</v>
      </c>
      <c r="D88" s="15">
        <v>209.82317800000001</v>
      </c>
      <c r="E88" s="15">
        <v>23.103817400000001</v>
      </c>
    </row>
    <row r="89" spans="1:5">
      <c r="B89">
        <v>6</v>
      </c>
      <c r="C89" s="15">
        <v>209.49554000000001</v>
      </c>
      <c r="D89" s="15">
        <v>210.189221</v>
      </c>
      <c r="E89" s="15">
        <v>23.105145499999999</v>
      </c>
    </row>
    <row r="90" spans="1:5">
      <c r="B90">
        <v>7</v>
      </c>
      <c r="C90" s="15">
        <v>209.76044300000001</v>
      </c>
      <c r="D90" s="15">
        <v>210.63905800000001</v>
      </c>
      <c r="E90" s="15">
        <v>23.106487699999999</v>
      </c>
    </row>
    <row r="91" spans="1:5">
      <c r="B91">
        <v>8</v>
      </c>
      <c r="C91" s="15">
        <v>210.082258</v>
      </c>
      <c r="D91" s="15">
        <v>211.20982100000001</v>
      </c>
      <c r="E91" s="15">
        <v>23.1078434</v>
      </c>
    </row>
    <row r="92" spans="1:5">
      <c r="B92">
        <v>9</v>
      </c>
      <c r="C92" s="15">
        <v>210.49452400000001</v>
      </c>
      <c r="D92" s="15">
        <v>211.93787900000001</v>
      </c>
      <c r="E92" s="15">
        <v>23.1092145</v>
      </c>
    </row>
    <row r="93" spans="1:5">
      <c r="B93">
        <v>10</v>
      </c>
      <c r="C93" s="15">
        <v>211.03150099999999</v>
      </c>
      <c r="D93" s="15">
        <v>212.85935900000001</v>
      </c>
      <c r="E93" s="15">
        <v>23.110604800000001</v>
      </c>
    </row>
    <row r="94" spans="1:5">
      <c r="B94">
        <v>11</v>
      </c>
      <c r="C94" s="15">
        <v>211.73015799999999</v>
      </c>
      <c r="D94" s="15">
        <v>214.00789700000001</v>
      </c>
      <c r="E94" s="15">
        <v>23.112020399999999</v>
      </c>
    </row>
    <row r="95" spans="1:5">
      <c r="B95">
        <v>12</v>
      </c>
      <c r="C95" s="15">
        <v>212.62963400000001</v>
      </c>
      <c r="D95" s="15">
        <v>215.409829</v>
      </c>
      <c r="E95" s="15">
        <v>23.1134694</v>
      </c>
    </row>
    <row r="96" spans="1:5">
      <c r="B96">
        <v>13</v>
      </c>
      <c r="C96" s="15">
        <v>213.76799299999999</v>
      </c>
      <c r="D96" s="15">
        <v>217.07739100000001</v>
      </c>
      <c r="E96" s="15">
        <v>23.114962599999998</v>
      </c>
    </row>
    <row r="97" spans="2:16">
      <c r="B97">
        <v>14</v>
      </c>
      <c r="C97" s="15">
        <v>215.17591999999999</v>
      </c>
      <c r="D97" s="15">
        <v>219.00141099999999</v>
      </c>
      <c r="E97" s="15">
        <v>23.1165138</v>
      </c>
    </row>
    <row r="98" spans="2:16">
      <c r="B98">
        <v>15</v>
      </c>
      <c r="C98" s="15">
        <v>216.867681</v>
      </c>
      <c r="D98" s="15">
        <v>221.14619099999999</v>
      </c>
      <c r="E98" s="15">
        <v>23.118140400000001</v>
      </c>
    </row>
    <row r="99" spans="2:16">
      <c r="B99">
        <v>16</v>
      </c>
      <c r="C99" s="15">
        <v>218.831231</v>
      </c>
      <c r="D99" s="15">
        <v>223.449895</v>
      </c>
      <c r="E99" s="15">
        <v>23.1198631</v>
      </c>
    </row>
    <row r="100" spans="2:16">
      <c r="B100">
        <v>17</v>
      </c>
      <c r="C100" s="15">
        <v>221.02135899999999</v>
      </c>
      <c r="D100" s="15">
        <v>225.83261400000001</v>
      </c>
      <c r="E100" s="15">
        <v>23.1217057</v>
      </c>
    </row>
    <row r="101" spans="2:16">
      <c r="B101">
        <v>18</v>
      </c>
      <c r="C101" s="15">
        <v>223.360849</v>
      </c>
      <c r="D101" s="15">
        <v>228.21104399999999</v>
      </c>
      <c r="E101" s="15">
        <v>23.123694100000002</v>
      </c>
    </row>
    <row r="102" spans="2:16">
      <c r="B102">
        <v>19</v>
      </c>
      <c r="C102" s="15">
        <v>225.75240600000001</v>
      </c>
      <c r="D102" s="15">
        <v>230.51509200000001</v>
      </c>
      <c r="E102" s="15">
        <v>23.1258534</v>
      </c>
    </row>
    <row r="103" spans="2:16">
      <c r="B103">
        <v>20</v>
      </c>
      <c r="C103" s="15">
        <v>228.09869599999999</v>
      </c>
      <c r="D103" s="15">
        <v>232.70048</v>
      </c>
      <c r="E103" s="15">
        <v>23.128361000000002</v>
      </c>
    </row>
    <row r="104" spans="2:16">
      <c r="B104">
        <v>21</v>
      </c>
      <c r="C104" s="15">
        <v>230.321911</v>
      </c>
      <c r="D104" s="15">
        <v>234.75365500000001</v>
      </c>
      <c r="E104" s="15">
        <v>23.1316171</v>
      </c>
    </row>
    <row r="105" spans="2:16">
      <c r="B105" s="53" t="s">
        <v>253</v>
      </c>
      <c r="C105" s="15">
        <v>236.68974399999999</v>
      </c>
      <c r="D105" s="15">
        <v>236.68974399999999</v>
      </c>
      <c r="E105" s="15">
        <v>23.135795300000002</v>
      </c>
    </row>
    <row r="107" spans="2:16">
      <c r="C107" s="53" t="s">
        <v>63</v>
      </c>
      <c r="D107" s="53" t="s">
        <v>64</v>
      </c>
      <c r="E107" s="53" t="s">
        <v>65</v>
      </c>
      <c r="F107" s="53" t="s">
        <v>66</v>
      </c>
      <c r="G107" s="53" t="s">
        <v>67</v>
      </c>
      <c r="H107" s="53" t="s">
        <v>68</v>
      </c>
      <c r="I107" s="53" t="s">
        <v>69</v>
      </c>
      <c r="J107" s="53" t="s">
        <v>70</v>
      </c>
      <c r="K107" s="53" t="s">
        <v>71</v>
      </c>
      <c r="L107" s="53" t="s">
        <v>72</v>
      </c>
      <c r="M107" s="53" t="s">
        <v>73</v>
      </c>
      <c r="N107" s="53" t="s">
        <v>74</v>
      </c>
      <c r="O107" s="53" t="s">
        <v>75</v>
      </c>
      <c r="P107" s="53" t="s">
        <v>76</v>
      </c>
    </row>
    <row r="108" spans="2:16">
      <c r="B108" s="53" t="s">
        <v>44</v>
      </c>
      <c r="C108" s="16">
        <v>184127.679</v>
      </c>
      <c r="D108" s="18">
        <v>0.86214853899999999</v>
      </c>
      <c r="E108" s="17">
        <v>0.10897348799999999</v>
      </c>
      <c r="F108" s="14">
        <v>0</v>
      </c>
      <c r="G108" s="14">
        <v>2.8877973099999999E-2</v>
      </c>
      <c r="H108" s="17">
        <v>0</v>
      </c>
      <c r="I108" s="17">
        <v>0</v>
      </c>
      <c r="J108" s="17">
        <v>0</v>
      </c>
      <c r="K108" s="17">
        <v>0</v>
      </c>
      <c r="L108" s="14">
        <v>0</v>
      </c>
      <c r="M108" s="14">
        <v>0</v>
      </c>
      <c r="N108" s="14">
        <v>0</v>
      </c>
      <c r="O108" s="14">
        <v>0</v>
      </c>
      <c r="P108" s="14">
        <v>0</v>
      </c>
    </row>
    <row r="109" spans="2:16">
      <c r="B109" s="53" t="s">
        <v>33</v>
      </c>
      <c r="C109" s="16">
        <v>32976.001700000001</v>
      </c>
      <c r="D109" s="18">
        <v>0.114680163</v>
      </c>
      <c r="E109" s="14">
        <v>0</v>
      </c>
      <c r="F109" s="14">
        <v>0</v>
      </c>
      <c r="G109" s="18">
        <v>0.13950957999999999</v>
      </c>
      <c r="H109" s="14">
        <v>0</v>
      </c>
      <c r="I109" s="14">
        <v>0</v>
      </c>
      <c r="J109" s="14">
        <v>0</v>
      </c>
      <c r="K109" s="14">
        <v>0</v>
      </c>
      <c r="L109" s="14">
        <v>0</v>
      </c>
      <c r="M109" s="14">
        <v>0</v>
      </c>
      <c r="N109" s="14">
        <v>0</v>
      </c>
      <c r="O109" s="14">
        <v>0</v>
      </c>
      <c r="P109" s="18">
        <v>0.74581025700000003</v>
      </c>
    </row>
    <row r="110" spans="2:16">
      <c r="B110" s="53" t="s">
        <v>34</v>
      </c>
      <c r="C110" s="15">
        <v>555.08435099999997</v>
      </c>
      <c r="D110" s="18">
        <v>1</v>
      </c>
      <c r="E110" s="14">
        <v>0</v>
      </c>
      <c r="F110" s="14">
        <v>0</v>
      </c>
      <c r="G110" s="14">
        <v>0</v>
      </c>
      <c r="H110" s="14">
        <v>0</v>
      </c>
      <c r="I110" s="14">
        <v>0</v>
      </c>
      <c r="J110" s="14">
        <v>0</v>
      </c>
      <c r="K110" s="14">
        <v>0</v>
      </c>
      <c r="L110" s="14">
        <v>0</v>
      </c>
      <c r="M110" s="14">
        <v>0</v>
      </c>
      <c r="N110" s="14">
        <v>0</v>
      </c>
      <c r="O110" s="14">
        <v>0</v>
      </c>
      <c r="P110" s="14">
        <v>0</v>
      </c>
    </row>
    <row r="111" spans="2:16">
      <c r="B111" s="53" t="s">
        <v>35</v>
      </c>
      <c r="C111" s="16">
        <v>108829.383</v>
      </c>
      <c r="D111" s="18">
        <v>0.74925623600000002</v>
      </c>
      <c r="E111" s="14">
        <v>9.2185744599999994E-2</v>
      </c>
      <c r="F111" s="14">
        <v>0</v>
      </c>
      <c r="G111" s="17">
        <v>4.5565370600000002E-2</v>
      </c>
      <c r="H111" s="14">
        <v>0</v>
      </c>
      <c r="I111" s="14">
        <v>0</v>
      </c>
      <c r="J111" s="14">
        <v>0</v>
      </c>
      <c r="K111" s="14">
        <v>0</v>
      </c>
      <c r="L111" s="14">
        <v>0</v>
      </c>
      <c r="M111" s="14">
        <v>0</v>
      </c>
      <c r="N111" s="14">
        <v>0</v>
      </c>
      <c r="O111" s="14">
        <v>0</v>
      </c>
      <c r="P111" s="18">
        <v>0.112992648</v>
      </c>
    </row>
    <row r="112" spans="2:16">
      <c r="B112" s="53" t="s">
        <v>36</v>
      </c>
      <c r="C112" s="16">
        <v>108829.383</v>
      </c>
      <c r="D112" s="18">
        <v>0.74925623600000002</v>
      </c>
      <c r="E112" s="17">
        <v>9.2185744599999994E-2</v>
      </c>
      <c r="F112" s="14">
        <v>0</v>
      </c>
      <c r="G112" s="14">
        <v>4.5565370600000002E-2</v>
      </c>
      <c r="H112" s="17">
        <v>0</v>
      </c>
      <c r="I112" s="17">
        <v>0</v>
      </c>
      <c r="J112" s="17">
        <v>0</v>
      </c>
      <c r="K112" s="17">
        <v>0</v>
      </c>
      <c r="L112" s="14">
        <v>0</v>
      </c>
      <c r="M112" s="14">
        <v>0</v>
      </c>
      <c r="N112" s="14">
        <v>0</v>
      </c>
      <c r="O112" s="14">
        <v>0</v>
      </c>
      <c r="P112" s="17">
        <v>0.112992648</v>
      </c>
    </row>
    <row r="113" spans="1:16">
      <c r="B113" s="53" t="s">
        <v>37</v>
      </c>
      <c r="C113" s="16">
        <v>108829.383</v>
      </c>
      <c r="D113" s="18">
        <v>0.74925623600000002</v>
      </c>
      <c r="E113" s="17">
        <v>9.2185744599999994E-2</v>
      </c>
      <c r="F113" s="14">
        <v>0</v>
      </c>
      <c r="G113" s="14">
        <v>4.5565370600000002E-2</v>
      </c>
      <c r="H113" s="17">
        <v>0</v>
      </c>
      <c r="I113" s="17">
        <v>0</v>
      </c>
      <c r="J113" s="17">
        <v>0</v>
      </c>
      <c r="K113" s="17">
        <v>0</v>
      </c>
      <c r="L113" s="14">
        <v>0</v>
      </c>
      <c r="M113" s="14">
        <v>0</v>
      </c>
      <c r="N113" s="14">
        <v>0</v>
      </c>
      <c r="O113" s="14">
        <v>0</v>
      </c>
      <c r="P113" s="17">
        <v>0.112992648</v>
      </c>
    </row>
    <row r="114" spans="1:16">
      <c r="B114" s="53" t="s">
        <v>217</v>
      </c>
      <c r="C114" s="16">
        <v>106580.61199999999</v>
      </c>
      <c r="D114" s="18">
        <v>0.76464111400000001</v>
      </c>
      <c r="E114" s="17">
        <v>5.2309773900000002E-2</v>
      </c>
      <c r="F114" s="14">
        <v>0</v>
      </c>
      <c r="G114" s="17">
        <v>2.5427523E-2</v>
      </c>
      <c r="H114" s="17">
        <v>3.7857001000000002E-4</v>
      </c>
      <c r="I114" s="17">
        <v>2.0676486099999999E-2</v>
      </c>
      <c r="J114" s="17">
        <v>2.1144534E-2</v>
      </c>
      <c r="K114" s="17">
        <v>4.4186369100000001E-5</v>
      </c>
      <c r="L114" s="14">
        <v>0</v>
      </c>
      <c r="M114" s="14">
        <v>0</v>
      </c>
      <c r="N114" s="14">
        <v>6.8811608999999998E-11</v>
      </c>
      <c r="O114" s="14">
        <v>1.10525785E-6</v>
      </c>
      <c r="P114" s="17">
        <v>0.11537670799999999</v>
      </c>
    </row>
    <row r="115" spans="1:16">
      <c r="B115" s="53" t="s">
        <v>218</v>
      </c>
      <c r="C115" s="16">
        <v>50245.573499999999</v>
      </c>
      <c r="D115" s="18">
        <v>0.80259476500000004</v>
      </c>
      <c r="E115" s="17">
        <v>0.114336495</v>
      </c>
      <c r="F115" s="14">
        <v>0</v>
      </c>
      <c r="G115" s="17">
        <v>2.9383912299999999E-5</v>
      </c>
      <c r="H115" s="17">
        <v>8.7535712700000004E-4</v>
      </c>
      <c r="I115" s="17">
        <v>4.0450676900000003E-2</v>
      </c>
      <c r="J115" s="17">
        <v>4.1463455000000003E-2</v>
      </c>
      <c r="K115" s="17">
        <v>6.7357336600000001E-5</v>
      </c>
      <c r="L115" s="14">
        <v>0</v>
      </c>
      <c r="M115" s="14">
        <v>0</v>
      </c>
      <c r="N115" s="14">
        <v>2.08367062E-10</v>
      </c>
      <c r="O115" s="14">
        <v>2.7064890300000001E-6</v>
      </c>
      <c r="P115" s="14">
        <v>1.79803129E-4</v>
      </c>
    </row>
    <row r="116" spans="1:16">
      <c r="B116" s="53" t="s">
        <v>219</v>
      </c>
      <c r="C116" s="16">
        <v>51851.433499999999</v>
      </c>
      <c r="D116" s="18">
        <v>0.77862756099999997</v>
      </c>
      <c r="E116" s="17">
        <v>0.17191564600000001</v>
      </c>
      <c r="F116" s="14">
        <v>0</v>
      </c>
      <c r="G116" s="14">
        <v>3.0998879699999999E-2</v>
      </c>
      <c r="H116" s="17">
        <v>2.5378790200000001E-5</v>
      </c>
      <c r="I116" s="17">
        <v>9.1147238799999999E-3</v>
      </c>
      <c r="J116" s="17">
        <v>9.1422956499999999E-3</v>
      </c>
      <c r="K116" s="17">
        <v>9.1271797500000005E-7</v>
      </c>
      <c r="L116" s="14">
        <v>0</v>
      </c>
      <c r="M116" s="14">
        <v>0</v>
      </c>
      <c r="N116" s="14">
        <v>1.29930426E-11</v>
      </c>
      <c r="O116" s="14">
        <v>3.6755056600000002E-7</v>
      </c>
      <c r="P116" s="14">
        <v>1.7423455300000001E-4</v>
      </c>
    </row>
    <row r="117" spans="1:16">
      <c r="B117" s="53" t="s">
        <v>220</v>
      </c>
      <c r="C117" s="16">
        <v>50244.103199999998</v>
      </c>
      <c r="D117" s="18">
        <v>0.80309486399999996</v>
      </c>
      <c r="E117" s="17">
        <v>0.113601934</v>
      </c>
      <c r="F117" s="14">
        <v>0</v>
      </c>
      <c r="G117" s="14">
        <v>1.2085862899999999E-7</v>
      </c>
      <c r="H117" s="17">
        <v>1.9724673299999999E-4</v>
      </c>
      <c r="I117" s="17">
        <v>4.0958978600000001E-2</v>
      </c>
      <c r="J117" s="17">
        <v>4.1695456999999998E-2</v>
      </c>
      <c r="K117" s="17">
        <v>2.6764125899999999E-4</v>
      </c>
      <c r="L117" s="14">
        <v>0</v>
      </c>
      <c r="M117" s="14">
        <v>0</v>
      </c>
      <c r="N117" s="14">
        <v>7.87952612E-12</v>
      </c>
      <c r="O117" s="14">
        <v>3.9491007100000003E-6</v>
      </c>
      <c r="P117" s="14">
        <v>1.7980839000000001E-4</v>
      </c>
    </row>
    <row r="118" spans="1:16">
      <c r="B118" s="53" t="s">
        <v>221</v>
      </c>
      <c r="C118" s="15">
        <v>56503.974300000002</v>
      </c>
      <c r="D118" s="17">
        <v>0.72856390299999996</v>
      </c>
      <c r="E118" s="14">
        <v>3.0403590400000001E-3</v>
      </c>
      <c r="F118" s="14">
        <v>0</v>
      </c>
      <c r="G118" s="18">
        <v>5.09263301E-2</v>
      </c>
      <c r="H118" s="14">
        <v>0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14">
        <v>0</v>
      </c>
      <c r="P118" s="17">
        <v>0.217469408</v>
      </c>
    </row>
    <row r="120" spans="1:16">
      <c r="A120" s="53" t="s">
        <v>265</v>
      </c>
      <c r="C120" s="53" t="s">
        <v>254</v>
      </c>
      <c r="D120" s="53" t="s">
        <v>256</v>
      </c>
    </row>
    <row r="121" spans="1:16">
      <c r="B121" s="53" t="s">
        <v>41</v>
      </c>
      <c r="C121" s="17">
        <v>1.45067789E-2</v>
      </c>
      <c r="D121" s="18">
        <v>0.22311863500000001</v>
      </c>
    </row>
    <row r="122" spans="1:16">
      <c r="B122">
        <v>2</v>
      </c>
      <c r="C122" s="17">
        <v>1.4500727999999999E-2</v>
      </c>
      <c r="D122" s="18">
        <v>0.22343164400000001</v>
      </c>
    </row>
    <row r="123" spans="1:16">
      <c r="B123">
        <v>3</v>
      </c>
      <c r="C123" s="17">
        <v>1.45008376E-2</v>
      </c>
      <c r="D123" s="18">
        <v>0.22342626900000001</v>
      </c>
    </row>
    <row r="124" spans="1:16">
      <c r="B124">
        <v>4</v>
      </c>
      <c r="C124" s="17">
        <v>1.45044366E-2</v>
      </c>
      <c r="D124" s="18">
        <v>0.223332907</v>
      </c>
    </row>
    <row r="125" spans="1:16">
      <c r="B125" s="53" t="s">
        <v>88</v>
      </c>
      <c r="C125" s="17">
        <v>1.4582023600000001E-2</v>
      </c>
      <c r="D125" s="18">
        <v>0.221416166</v>
      </c>
    </row>
    <row r="126" spans="1:16">
      <c r="B126">
        <v>6</v>
      </c>
      <c r="C126" s="17">
        <v>1.87596914E-2</v>
      </c>
      <c r="D126" s="18">
        <v>0.25118649199999998</v>
      </c>
    </row>
    <row r="127" spans="1:16">
      <c r="B127">
        <v>7</v>
      </c>
      <c r="C127" s="17">
        <v>2.3590127299999999E-2</v>
      </c>
      <c r="D127" s="18">
        <v>0.27664513400000001</v>
      </c>
    </row>
    <row r="128" spans="1:16">
      <c r="B128">
        <v>8</v>
      </c>
      <c r="C128" s="17">
        <v>2.87638292E-2</v>
      </c>
      <c r="D128" s="18">
        <v>0.29558499799999999</v>
      </c>
    </row>
    <row r="129" spans="2:4">
      <c r="B129">
        <v>9</v>
      </c>
      <c r="C129" s="17">
        <v>3.3885947100000001E-2</v>
      </c>
      <c r="D129" s="18">
        <v>0.307368011</v>
      </c>
    </row>
    <row r="130" spans="2:4">
      <c r="B130">
        <v>10</v>
      </c>
      <c r="C130" s="17">
        <v>3.8702510400000001E-2</v>
      </c>
      <c r="D130" s="18">
        <v>0.312798725</v>
      </c>
    </row>
    <row r="131" spans="2:4">
      <c r="B131">
        <v>11</v>
      </c>
      <c r="C131" s="17">
        <v>4.3166551599999999E-2</v>
      </c>
      <c r="D131" s="18">
        <v>0.31335268599999999</v>
      </c>
    </row>
    <row r="132" spans="2:4">
      <c r="B132">
        <v>12</v>
      </c>
      <c r="C132" s="17">
        <v>4.7347427900000003E-2</v>
      </c>
      <c r="D132" s="18">
        <v>0.31048669800000001</v>
      </c>
    </row>
    <row r="133" spans="2:4">
      <c r="B133">
        <v>13</v>
      </c>
      <c r="C133" s="17">
        <v>5.1341201000000003E-2</v>
      </c>
      <c r="D133" s="18">
        <v>0.30532505700000001</v>
      </c>
    </row>
    <row r="134" spans="2:4">
      <c r="B134">
        <v>14</v>
      </c>
      <c r="C134" s="17">
        <v>5.5227752999999997E-2</v>
      </c>
      <c r="D134" s="18">
        <v>0.29863688500000002</v>
      </c>
    </row>
    <row r="135" spans="2:4">
      <c r="B135">
        <v>15</v>
      </c>
      <c r="C135" s="17">
        <v>5.9063421499999998E-2</v>
      </c>
      <c r="D135" s="18">
        <v>0.29091069899999999</v>
      </c>
    </row>
    <row r="136" spans="2:4">
      <c r="B136">
        <v>16</v>
      </c>
      <c r="C136" s="17">
        <v>6.2885243399999999E-2</v>
      </c>
      <c r="D136" s="18">
        <v>0.28244266000000001</v>
      </c>
    </row>
    <row r="137" spans="2:4">
      <c r="B137">
        <v>17</v>
      </c>
      <c r="C137" s="17">
        <v>6.6717604999999999E-2</v>
      </c>
      <c r="D137" s="18">
        <v>0.273404482</v>
      </c>
    </row>
    <row r="138" spans="2:4">
      <c r="B138">
        <v>18</v>
      </c>
      <c r="C138" s="17">
        <v>7.0577988800000005E-2</v>
      </c>
      <c r="D138" s="18">
        <v>0.26388827399999998</v>
      </c>
    </row>
    <row r="139" spans="2:4">
      <c r="B139">
        <v>19</v>
      </c>
      <c r="C139" s="17">
        <v>7.4481189099999998E-2</v>
      </c>
      <c r="D139" s="18">
        <v>0.253933729</v>
      </c>
    </row>
    <row r="140" spans="2:4">
      <c r="B140">
        <v>20</v>
      </c>
      <c r="C140" s="17">
        <v>7.8442216600000003E-2</v>
      </c>
      <c r="D140" s="18">
        <v>0.24354355699999999</v>
      </c>
    </row>
    <row r="141" spans="2:4">
      <c r="B141">
        <v>21</v>
      </c>
      <c r="C141" s="17">
        <v>8.2478295199999996E-2</v>
      </c>
      <c r="D141" s="18">
        <v>0.232691394</v>
      </c>
    </row>
    <row r="142" spans="2:4">
      <c r="B142">
        <v>22</v>
      </c>
      <c r="C142" s="17">
        <v>8.6610336199999999E-2</v>
      </c>
      <c r="D142" s="18">
        <v>0.22132484599999999</v>
      </c>
    </row>
    <row r="143" spans="2:4">
      <c r="B143">
        <v>23</v>
      </c>
      <c r="C143" s="17">
        <v>9.0864217799999994E-2</v>
      </c>
      <c r="D143" s="18">
        <v>0.209365035</v>
      </c>
    </row>
    <row r="144" spans="2:4">
      <c r="B144">
        <v>24</v>
      </c>
      <c r="C144" s="17">
        <v>9.5272165199999995E-2</v>
      </c>
      <c r="D144" s="18">
        <v>0.19670311600000001</v>
      </c>
    </row>
    <row r="145" spans="1:4">
      <c r="B145" s="53" t="s">
        <v>222</v>
      </c>
      <c r="C145" s="17">
        <v>9.9874522300000004E-2</v>
      </c>
      <c r="D145" s="18">
        <v>0.183193508</v>
      </c>
    </row>
    <row r="146" spans="1:4">
      <c r="B146">
        <v>26</v>
      </c>
      <c r="C146" s="17">
        <v>0.10472226799999999</v>
      </c>
      <c r="D146" s="18">
        <v>0.16864280700000001</v>
      </c>
    </row>
    <row r="147" spans="1:4">
      <c r="B147">
        <v>27</v>
      </c>
      <c r="C147" s="17">
        <v>0.109880751</v>
      </c>
      <c r="D147" s="18">
        <v>0.15279241599999999</v>
      </c>
    </row>
    <row r="148" spans="1:4">
      <c r="B148">
        <v>28</v>
      </c>
      <c r="C148" s="17">
        <v>0.11543541</v>
      </c>
      <c r="D148" s="18">
        <v>0.135291297</v>
      </c>
    </row>
    <row r="149" spans="1:4">
      <c r="B149">
        <v>29</v>
      </c>
      <c r="C149" s="17">
        <v>0.121711641</v>
      </c>
      <c r="D149" s="18">
        <v>0.13721211999999999</v>
      </c>
    </row>
    <row r="150" spans="1:4">
      <c r="B150">
        <v>30</v>
      </c>
      <c r="C150" s="17">
        <v>0.12620473300000001</v>
      </c>
      <c r="D150" s="18">
        <v>0.13691930299999999</v>
      </c>
    </row>
    <row r="151" spans="1:4">
      <c r="B151">
        <v>31</v>
      </c>
      <c r="C151" s="18">
        <v>0.12960233099999999</v>
      </c>
      <c r="D151" s="18">
        <v>0.13493429700000001</v>
      </c>
    </row>
    <row r="152" spans="1:4">
      <c r="B152">
        <v>32</v>
      </c>
      <c r="C152" s="18">
        <v>0.13236645399999999</v>
      </c>
      <c r="D152" s="18">
        <v>0.13160243199999999</v>
      </c>
    </row>
    <row r="153" spans="1:4">
      <c r="B153">
        <v>33</v>
      </c>
      <c r="C153" s="18">
        <v>0.13480616000000001</v>
      </c>
      <c r="D153" s="18">
        <v>0.127106</v>
      </c>
    </row>
    <row r="154" spans="1:4">
      <c r="B154">
        <v>34</v>
      </c>
      <c r="C154" s="18">
        <v>0.137134653</v>
      </c>
      <c r="D154" s="18">
        <v>0.12149009099999999</v>
      </c>
    </row>
    <row r="156" spans="1:4">
      <c r="A156" s="53" t="s">
        <v>267</v>
      </c>
      <c r="C156" s="53" t="s">
        <v>254</v>
      </c>
      <c r="D156" s="53" t="s">
        <v>256</v>
      </c>
    </row>
    <row r="157" spans="1:4">
      <c r="B157" s="53" t="s">
        <v>255</v>
      </c>
      <c r="C157" s="18">
        <v>0.90726626499999996</v>
      </c>
      <c r="D157" s="17">
        <v>5.6204933399999997E-2</v>
      </c>
    </row>
    <row r="158" spans="1:4">
      <c r="B158">
        <v>2</v>
      </c>
      <c r="C158" s="18">
        <v>0.485942086</v>
      </c>
      <c r="D158" s="18">
        <v>0.51214952899999999</v>
      </c>
    </row>
    <row r="159" spans="1:4">
      <c r="B159">
        <v>3</v>
      </c>
      <c r="C159" s="18">
        <v>0.48183494599999999</v>
      </c>
      <c r="D159" s="18">
        <v>0.51692069600000001</v>
      </c>
    </row>
    <row r="160" spans="1:4">
      <c r="B160">
        <v>4</v>
      </c>
      <c r="C160" s="18">
        <v>0.478719703</v>
      </c>
      <c r="D160" s="18">
        <v>0.52042554600000002</v>
      </c>
    </row>
    <row r="161" spans="2:4">
      <c r="B161" s="53">
        <v>5</v>
      </c>
      <c r="C161" s="18">
        <v>0.47573064399999998</v>
      </c>
      <c r="D161" s="18">
        <v>0.52364634099999996</v>
      </c>
    </row>
    <row r="162" spans="2:4">
      <c r="B162">
        <v>6</v>
      </c>
      <c r="C162" s="18">
        <v>0.47229768999999999</v>
      </c>
      <c r="D162" s="18">
        <v>0.52721653999999996</v>
      </c>
    </row>
    <row r="163" spans="2:4">
      <c r="B163">
        <v>7</v>
      </c>
      <c r="C163" s="18">
        <v>0.46797355800000001</v>
      </c>
      <c r="D163" s="18">
        <v>0.53161972599999996</v>
      </c>
    </row>
    <row r="164" spans="2:4">
      <c r="B164">
        <v>8</v>
      </c>
      <c r="C164" s="18">
        <v>0.46233505699999999</v>
      </c>
      <c r="D164" s="18">
        <v>0.53730033399999999</v>
      </c>
    </row>
    <row r="165" spans="2:4">
      <c r="B165">
        <v>9</v>
      </c>
      <c r="C165" s="18">
        <v>0.45493155400000002</v>
      </c>
      <c r="D165" s="18">
        <v>0.54472142000000001</v>
      </c>
    </row>
    <row r="166" spans="2:4">
      <c r="B166">
        <v>10</v>
      </c>
      <c r="C166" s="18">
        <v>0.44526669699999999</v>
      </c>
      <c r="D166" s="18">
        <v>0.55438641799999999</v>
      </c>
    </row>
    <row r="167" spans="2:4">
      <c r="B167">
        <v>11</v>
      </c>
      <c r="C167" s="18">
        <v>0.43281072700000001</v>
      </c>
      <c r="D167" s="18">
        <v>0.56682889800000003</v>
      </c>
    </row>
    <row r="168" spans="2:4">
      <c r="B168">
        <v>12</v>
      </c>
      <c r="C168" s="18">
        <v>0.41704703300000001</v>
      </c>
      <c r="D168" s="18">
        <v>0.58256728899999999</v>
      </c>
    </row>
    <row r="169" spans="2:4">
      <c r="B169">
        <v>13</v>
      </c>
      <c r="C169" s="18">
        <v>0.39755617399999998</v>
      </c>
      <c r="D169" s="18">
        <v>0.60202171500000001</v>
      </c>
    </row>
    <row r="170" spans="2:4">
      <c r="B170">
        <v>14</v>
      </c>
      <c r="C170" s="18">
        <v>0.37413070900000001</v>
      </c>
      <c r="D170" s="18">
        <v>0.625399767</v>
      </c>
    </row>
    <row r="171" spans="2:4">
      <c r="B171">
        <v>15</v>
      </c>
      <c r="C171" s="18">
        <v>0.34689460700000002</v>
      </c>
      <c r="D171" s="18">
        <v>0.65257752499999999</v>
      </c>
    </row>
    <row r="172" spans="2:4">
      <c r="B172">
        <v>16</v>
      </c>
      <c r="C172" s="18">
        <v>0.31637970599999998</v>
      </c>
      <c r="D172" s="18">
        <v>0.68302339099999998</v>
      </c>
    </row>
    <row r="173" spans="2:4">
      <c r="B173">
        <v>17</v>
      </c>
      <c r="C173" s="18">
        <v>0.28350676699999999</v>
      </c>
      <c r="D173" s="18">
        <v>0.715817123</v>
      </c>
    </row>
    <row r="174" spans="2:4">
      <c r="B174">
        <v>18</v>
      </c>
      <c r="C174" s="18">
        <v>0.249447949</v>
      </c>
      <c r="D174" s="18">
        <v>0.74978727599999995</v>
      </c>
    </row>
    <row r="175" spans="2:4">
      <c r="B175">
        <v>19</v>
      </c>
      <c r="C175" s="18">
        <v>0.215405236</v>
      </c>
      <c r="D175" s="18">
        <v>0.78373256199999997</v>
      </c>
    </row>
    <row r="176" spans="2:4">
      <c r="B176">
        <v>20</v>
      </c>
      <c r="C176" s="18">
        <v>0.182388198</v>
      </c>
      <c r="D176" s="18">
        <v>0.81664384099999998</v>
      </c>
    </row>
    <row r="177" spans="2:6">
      <c r="B177">
        <v>21</v>
      </c>
      <c r="C177" s="18">
        <v>0.15107319499999999</v>
      </c>
      <c r="D177" s="18">
        <v>0.84784473299999996</v>
      </c>
    </row>
    <row r="178" spans="2:6">
      <c r="B178" s="53" t="s">
        <v>253</v>
      </c>
      <c r="C178" s="18">
        <v>0.12177624400000001</v>
      </c>
      <c r="D178" s="18">
        <v>0.87701868299999997</v>
      </c>
    </row>
    <row r="181" spans="2:6">
      <c r="B181">
        <v>1</v>
      </c>
      <c r="C181" s="10">
        <v>0.79959999999999998</v>
      </c>
      <c r="D181" s="11">
        <v>-8094.81</v>
      </c>
      <c r="E181" s="13">
        <v>0</v>
      </c>
      <c r="F181" s="9">
        <v>-7.4840000000000002E-3</v>
      </c>
    </row>
    <row r="182" spans="2:6">
      <c r="B182">
        <v>2</v>
      </c>
      <c r="C182" s="11">
        <v>98.566000000000003</v>
      </c>
      <c r="D182" s="11">
        <v>1353.8</v>
      </c>
      <c r="E182" s="11">
        <v>-14.3043</v>
      </c>
      <c r="F182" s="13">
        <v>0</v>
      </c>
    </row>
    <row r="183" spans="2:6">
      <c r="B183">
        <v>3</v>
      </c>
      <c r="C183" s="11">
        <v>216.04900000000001</v>
      </c>
      <c r="D183" s="12">
        <v>-12431.7</v>
      </c>
      <c r="E183" s="11">
        <v>-35.481900000000003</v>
      </c>
      <c r="F183" s="13">
        <v>0</v>
      </c>
    </row>
    <row r="184" spans="2:6">
      <c r="B184">
        <v>4</v>
      </c>
      <c r="C184" s="11">
        <v>1.282562</v>
      </c>
      <c r="D184" s="11">
        <v>-3456.1790000000001</v>
      </c>
      <c r="E184" s="13">
        <v>0</v>
      </c>
      <c r="F184" s="13">
        <v>0</v>
      </c>
    </row>
    <row r="185" spans="2:6">
      <c r="B185">
        <v>5</v>
      </c>
      <c r="C185" s="11">
        <v>132.899</v>
      </c>
      <c r="D185" s="12">
        <v>-13445.9</v>
      </c>
      <c r="E185" s="11">
        <v>-22.4773</v>
      </c>
      <c r="F185" s="13">
        <v>0</v>
      </c>
    </row>
  </sheetData>
  <conditionalFormatting sqref="B1">
    <cfRule type="cellIs" dxfId="0" priority="1" operator="equal">
      <formula>"name.txt"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P39"/>
  <sheetViews>
    <sheetView workbookViewId="0">
      <selection activeCell="D8" sqref="D8"/>
    </sheetView>
  </sheetViews>
  <sheetFormatPr defaultRowHeight="15"/>
  <cols>
    <col min="1" max="1" width="10.7109375" customWidth="1"/>
    <col min="2" max="6" width="14.7109375" customWidth="1"/>
    <col min="7" max="9" width="10.7109375" customWidth="1"/>
  </cols>
  <sheetData>
    <row r="2" spans="1:16" ht="15.75" thickBot="1">
      <c r="C2" s="7"/>
      <c r="D2" s="16"/>
    </row>
    <row r="3" spans="1:16" ht="16.5" thickTop="1" thickBot="1">
      <c r="C3" s="7"/>
      <c r="D3" s="16"/>
      <c r="H3" s="32" t="s">
        <v>93</v>
      </c>
      <c r="I3" s="33"/>
      <c r="J3" s="33"/>
      <c r="K3" s="34"/>
      <c r="M3" s="32" t="s">
        <v>262</v>
      </c>
      <c r="N3" s="33"/>
      <c r="O3" s="33"/>
      <c r="P3" s="34"/>
    </row>
    <row r="4" spans="1:16" ht="16.5" thickTop="1" thickBot="1">
      <c r="C4" s="7"/>
      <c r="D4" s="21"/>
      <c r="H4" s="29" t="s">
        <v>96</v>
      </c>
      <c r="I4" s="30" t="s">
        <v>94</v>
      </c>
      <c r="J4" s="30" t="s">
        <v>95</v>
      </c>
      <c r="K4" s="31" t="s">
        <v>97</v>
      </c>
      <c r="M4" s="29" t="s">
        <v>96</v>
      </c>
      <c r="N4" s="30" t="s">
        <v>94</v>
      </c>
      <c r="O4" s="30" t="s">
        <v>95</v>
      </c>
      <c r="P4" s="31" t="s">
        <v>97</v>
      </c>
    </row>
    <row r="5" spans="1:16" ht="15.75" thickTop="1">
      <c r="C5" s="55" t="s">
        <v>208</v>
      </c>
      <c r="D5" s="60">
        <f>(Sim!C118*Sim!G118)/(Sim!C109*Sim!G109)</f>
        <v>0.62548852748521544</v>
      </c>
      <c r="H5" s="24">
        <v>1</v>
      </c>
      <c r="I5" s="25">
        <v>0</v>
      </c>
      <c r="J5" s="26">
        <f>abs_ht_wash/4*H5</f>
        <v>1.25</v>
      </c>
      <c r="K5" s="61">
        <f>(J5+I5)/2</f>
        <v>0.625</v>
      </c>
      <c r="M5" s="24">
        <v>1</v>
      </c>
      <c r="N5" s="25" t="s">
        <v>263</v>
      </c>
      <c r="O5" s="26"/>
      <c r="P5" s="61"/>
    </row>
    <row r="6" spans="1:16">
      <c r="C6" s="7"/>
      <c r="D6" s="16"/>
      <c r="H6" s="24">
        <v>2</v>
      </c>
      <c r="I6" s="26">
        <f>J5</f>
        <v>1.25</v>
      </c>
      <c r="J6" s="26">
        <f>abs_ht_wash/4*H6</f>
        <v>2.5</v>
      </c>
      <c r="K6" s="61">
        <f t="shared" ref="K6:K38" si="0">(J6+I6)/2</f>
        <v>1.875</v>
      </c>
      <c r="M6" s="24">
        <v>2</v>
      </c>
      <c r="N6" s="26">
        <v>0</v>
      </c>
      <c r="O6" s="26">
        <f>ht_regen/20</f>
        <v>0.5</v>
      </c>
      <c r="P6" s="61">
        <f t="shared" ref="P6:P25" si="1">(O6+N6)/2</f>
        <v>0.25</v>
      </c>
    </row>
    <row r="7" spans="1:16">
      <c r="C7" s="55" t="s">
        <v>209</v>
      </c>
      <c r="D7" s="18">
        <f>(Sim!G112+Sim!H112+Sim!I112+Sim!K112)/(Sim!E112+Sim!I112+Sim!J112)</f>
        <v>0.49427783870175523</v>
      </c>
      <c r="E7" s="53" t="s">
        <v>79</v>
      </c>
      <c r="H7" s="24">
        <v>3</v>
      </c>
      <c r="I7" s="26">
        <f t="shared" ref="I7:I8" si="2">J6</f>
        <v>2.5</v>
      </c>
      <c r="J7" s="26">
        <f>abs_ht_wash/4*H7</f>
        <v>3.75</v>
      </c>
      <c r="K7" s="61">
        <f t="shared" si="0"/>
        <v>3.125</v>
      </c>
      <c r="M7" s="24">
        <v>3</v>
      </c>
      <c r="N7" s="26">
        <f t="shared" ref="N7" si="3">O6</f>
        <v>0.5</v>
      </c>
      <c r="O7" s="26">
        <f t="shared" ref="O7:O25" si="4">ht_regen/20*M6</f>
        <v>1</v>
      </c>
      <c r="P7" s="61">
        <f t="shared" si="1"/>
        <v>0.75</v>
      </c>
    </row>
    <row r="8" spans="1:16">
      <c r="C8" s="55" t="s">
        <v>210</v>
      </c>
      <c r="D8" s="16">
        <f>Sim!E35-Components!D8*(Sim!C108*Sim!G108+Sim!C108*Sim!H108+Sim!C108*Sim!I108+Sim!C108*Sim!K108)</f>
        <v>4085488.9345687819</v>
      </c>
      <c r="E8" s="53" t="s">
        <v>78</v>
      </c>
      <c r="H8" s="24">
        <v>4</v>
      </c>
      <c r="I8" s="26">
        <f t="shared" si="2"/>
        <v>3.75</v>
      </c>
      <c r="J8" s="26">
        <f>abs_ht_wash/4*H8</f>
        <v>5</v>
      </c>
      <c r="K8" s="61">
        <f t="shared" si="0"/>
        <v>4.375</v>
      </c>
      <c r="M8" s="24">
        <v>4</v>
      </c>
      <c r="N8" s="26">
        <f t="shared" ref="N8:N25" si="5">O7</f>
        <v>1</v>
      </c>
      <c r="O8" s="26">
        <f t="shared" si="4"/>
        <v>1.5</v>
      </c>
      <c r="P8" s="61">
        <f t="shared" si="1"/>
        <v>1.25</v>
      </c>
    </row>
    <row r="9" spans="1:16">
      <c r="C9" s="55" t="s">
        <v>211</v>
      </c>
      <c r="D9" s="15">
        <f>Sim!C74+Input!E30</f>
        <v>127.97451999999998</v>
      </c>
      <c r="E9" s="53" t="s">
        <v>87</v>
      </c>
      <c r="H9" s="24">
        <v>5</v>
      </c>
      <c r="I9" s="26">
        <f>J8</f>
        <v>5</v>
      </c>
      <c r="J9" s="26">
        <f t="shared" ref="J9:J38" si="6">$I$9+(H9-4)*abs_ht_mid/30</f>
        <v>5.42</v>
      </c>
      <c r="K9" s="61">
        <f t="shared" si="0"/>
        <v>5.21</v>
      </c>
      <c r="M9" s="24">
        <v>5</v>
      </c>
      <c r="N9" s="26">
        <f t="shared" si="5"/>
        <v>1.5</v>
      </c>
      <c r="O9" s="26">
        <f t="shared" si="4"/>
        <v>2</v>
      </c>
      <c r="P9" s="61">
        <f t="shared" si="1"/>
        <v>1.75</v>
      </c>
    </row>
    <row r="10" spans="1:16">
      <c r="H10" s="24">
        <v>6</v>
      </c>
      <c r="I10" s="26">
        <f t="shared" ref="I10:I28" si="7">J9</f>
        <v>5.42</v>
      </c>
      <c r="J10" s="26">
        <f t="shared" si="6"/>
        <v>5.84</v>
      </c>
      <c r="K10" s="61">
        <f t="shared" si="0"/>
        <v>5.63</v>
      </c>
      <c r="M10" s="24">
        <v>6</v>
      </c>
      <c r="N10" s="26">
        <f t="shared" si="5"/>
        <v>2</v>
      </c>
      <c r="O10" s="26">
        <f t="shared" si="4"/>
        <v>2.5</v>
      </c>
      <c r="P10" s="61">
        <f t="shared" si="1"/>
        <v>2.25</v>
      </c>
    </row>
    <row r="11" spans="1:16">
      <c r="A11" s="41" t="s">
        <v>323</v>
      </c>
      <c r="B11" s="36"/>
      <c r="C11" s="36"/>
      <c r="D11" s="36"/>
      <c r="E11" s="36"/>
      <c r="F11" s="37"/>
      <c r="G11" s="67"/>
      <c r="H11" s="24">
        <v>7</v>
      </c>
      <c r="I11" s="26">
        <f t="shared" si="7"/>
        <v>5.84</v>
      </c>
      <c r="J11" s="26">
        <f t="shared" si="6"/>
        <v>6.26</v>
      </c>
      <c r="K11" s="61">
        <f t="shared" si="0"/>
        <v>6.05</v>
      </c>
      <c r="M11" s="24">
        <v>7</v>
      </c>
      <c r="N11" s="26">
        <f t="shared" si="5"/>
        <v>2.5</v>
      </c>
      <c r="O11" s="26">
        <f t="shared" si="4"/>
        <v>3</v>
      </c>
      <c r="P11" s="61">
        <f t="shared" si="1"/>
        <v>2.75</v>
      </c>
    </row>
    <row r="12" spans="1:16">
      <c r="A12" s="53"/>
      <c r="B12" s="53"/>
      <c r="C12" s="55" t="s">
        <v>324</v>
      </c>
      <c r="D12" s="42">
        <v>267</v>
      </c>
      <c r="E12" s="53" t="s">
        <v>87</v>
      </c>
      <c r="F12" s="53"/>
      <c r="G12" s="67"/>
      <c r="H12" s="24">
        <v>8</v>
      </c>
      <c r="I12" s="26">
        <f t="shared" si="7"/>
        <v>6.26</v>
      </c>
      <c r="J12" s="26">
        <f t="shared" si="6"/>
        <v>6.68</v>
      </c>
      <c r="K12" s="61">
        <f t="shared" si="0"/>
        <v>6.47</v>
      </c>
      <c r="M12" s="24">
        <v>8</v>
      </c>
      <c r="N12" s="26">
        <f t="shared" si="5"/>
        <v>3</v>
      </c>
      <c r="O12" s="26">
        <f t="shared" si="4"/>
        <v>3.5</v>
      </c>
      <c r="P12" s="61">
        <f t="shared" si="1"/>
        <v>3.25</v>
      </c>
    </row>
    <row r="13" spans="1:16">
      <c r="A13" s="53"/>
      <c r="B13" s="53"/>
      <c r="C13" s="55" t="s">
        <v>325</v>
      </c>
      <c r="D13" s="42">
        <v>700</v>
      </c>
      <c r="E13" s="53" t="s">
        <v>87</v>
      </c>
      <c r="F13" s="53"/>
      <c r="G13" s="67"/>
      <c r="H13" s="24">
        <v>9</v>
      </c>
      <c r="I13" s="26">
        <f t="shared" si="7"/>
        <v>6.68</v>
      </c>
      <c r="J13" s="26">
        <f t="shared" si="6"/>
        <v>7.1</v>
      </c>
      <c r="K13" s="61">
        <f t="shared" si="0"/>
        <v>6.89</v>
      </c>
      <c r="M13" s="24">
        <v>9</v>
      </c>
      <c r="N13" s="26">
        <f t="shared" si="5"/>
        <v>3.5</v>
      </c>
      <c r="O13" s="26">
        <f t="shared" si="4"/>
        <v>4</v>
      </c>
      <c r="P13" s="61">
        <f t="shared" si="1"/>
        <v>3.75</v>
      </c>
    </row>
    <row r="14" spans="1:16">
      <c r="A14" s="53"/>
      <c r="B14" s="53"/>
      <c r="C14" s="55" t="s">
        <v>326</v>
      </c>
      <c r="D14" s="42">
        <v>40</v>
      </c>
      <c r="E14" s="53" t="s">
        <v>100</v>
      </c>
      <c r="F14" s="53"/>
      <c r="G14" s="67"/>
      <c r="H14" s="24">
        <v>10</v>
      </c>
      <c r="I14" s="26">
        <f t="shared" si="7"/>
        <v>7.1</v>
      </c>
      <c r="J14" s="26">
        <f t="shared" si="6"/>
        <v>7.5200000000000005</v>
      </c>
      <c r="K14" s="61">
        <f t="shared" si="0"/>
        <v>7.3100000000000005</v>
      </c>
      <c r="M14" s="24">
        <v>10</v>
      </c>
      <c r="N14" s="26">
        <f t="shared" si="5"/>
        <v>4</v>
      </c>
      <c r="O14" s="26">
        <f t="shared" si="4"/>
        <v>4.5</v>
      </c>
      <c r="P14" s="61">
        <f t="shared" si="1"/>
        <v>4.25</v>
      </c>
    </row>
    <row r="15" spans="1:16">
      <c r="A15" s="53"/>
      <c r="B15" s="53"/>
      <c r="C15" s="55" t="s">
        <v>327</v>
      </c>
      <c r="D15" s="42">
        <v>1383.5</v>
      </c>
      <c r="E15" s="53" t="s">
        <v>328</v>
      </c>
      <c r="F15" s="53"/>
      <c r="G15" s="67"/>
      <c r="H15" s="24">
        <v>11</v>
      </c>
      <c r="I15" s="26">
        <f t="shared" si="7"/>
        <v>7.5200000000000005</v>
      </c>
      <c r="J15" s="26">
        <f t="shared" si="6"/>
        <v>7.94</v>
      </c>
      <c r="K15" s="61">
        <f t="shared" si="0"/>
        <v>7.73</v>
      </c>
      <c r="M15" s="24">
        <v>11</v>
      </c>
      <c r="N15" s="26">
        <f t="shared" si="5"/>
        <v>4.5</v>
      </c>
      <c r="O15" s="26">
        <f t="shared" si="4"/>
        <v>5</v>
      </c>
      <c r="P15" s="61">
        <f t="shared" si="1"/>
        <v>4.75</v>
      </c>
    </row>
    <row r="16" spans="1:16">
      <c r="A16" s="53"/>
      <c r="B16" s="53"/>
      <c r="C16" s="55" t="s">
        <v>329</v>
      </c>
      <c r="D16" s="42">
        <v>236.3</v>
      </c>
      <c r="E16" s="53" t="s">
        <v>328</v>
      </c>
      <c r="F16" s="53"/>
      <c r="G16" s="67"/>
      <c r="H16" s="24">
        <v>12</v>
      </c>
      <c r="I16" s="26">
        <f t="shared" si="7"/>
        <v>7.94</v>
      </c>
      <c r="J16" s="26">
        <f t="shared" si="6"/>
        <v>8.36</v>
      </c>
      <c r="K16" s="61">
        <f t="shared" si="0"/>
        <v>8.15</v>
      </c>
      <c r="M16" s="24">
        <v>12</v>
      </c>
      <c r="N16" s="26">
        <f t="shared" si="5"/>
        <v>5</v>
      </c>
      <c r="O16" s="26">
        <f t="shared" si="4"/>
        <v>5.5</v>
      </c>
      <c r="P16" s="61">
        <f t="shared" si="1"/>
        <v>5.25</v>
      </c>
    </row>
    <row r="17" spans="1:16">
      <c r="A17" s="53"/>
      <c r="B17" s="53"/>
      <c r="C17" s="53"/>
      <c r="D17" s="53"/>
      <c r="E17" s="53"/>
      <c r="F17" s="53"/>
      <c r="G17" s="67"/>
      <c r="H17" s="24">
        <v>13</v>
      </c>
      <c r="I17" s="26">
        <f t="shared" si="7"/>
        <v>8.36</v>
      </c>
      <c r="J17" s="26">
        <f t="shared" si="6"/>
        <v>8.7800000000000011</v>
      </c>
      <c r="K17" s="61">
        <f t="shared" si="0"/>
        <v>8.57</v>
      </c>
      <c r="M17" s="24">
        <v>13</v>
      </c>
      <c r="N17" s="26">
        <f t="shared" si="5"/>
        <v>5.5</v>
      </c>
      <c r="O17" s="26">
        <f t="shared" si="4"/>
        <v>6</v>
      </c>
      <c r="P17" s="61">
        <f t="shared" si="1"/>
        <v>5.75</v>
      </c>
    </row>
    <row r="18" spans="1:16">
      <c r="A18" s="53"/>
      <c r="B18" s="53"/>
      <c r="C18" s="55" t="s">
        <v>330</v>
      </c>
      <c r="D18" s="22">
        <f>D15-D16</f>
        <v>1147.2</v>
      </c>
      <c r="E18" s="53" t="s">
        <v>328</v>
      </c>
      <c r="F18" s="53"/>
      <c r="G18" s="67"/>
      <c r="H18" s="24">
        <v>14</v>
      </c>
      <c r="I18" s="26">
        <f t="shared" si="7"/>
        <v>8.7800000000000011</v>
      </c>
      <c r="J18" s="26">
        <f t="shared" si="6"/>
        <v>9.1999999999999993</v>
      </c>
      <c r="K18" s="61">
        <f t="shared" si="0"/>
        <v>8.99</v>
      </c>
      <c r="M18" s="24">
        <v>14</v>
      </c>
      <c r="N18" s="26">
        <f t="shared" si="5"/>
        <v>6</v>
      </c>
      <c r="O18" s="26">
        <f t="shared" si="4"/>
        <v>6.5</v>
      </c>
      <c r="P18" s="61">
        <f t="shared" si="1"/>
        <v>6.25</v>
      </c>
    </row>
    <row r="19" spans="1:16">
      <c r="A19" s="53"/>
      <c r="B19" s="53"/>
      <c r="C19" s="55" t="s">
        <v>331</v>
      </c>
      <c r="D19" s="16">
        <f>rblr_duty_regen/D18</f>
        <v>0</v>
      </c>
      <c r="E19" s="53" t="s">
        <v>78</v>
      </c>
      <c r="F19" s="53"/>
      <c r="G19" s="53"/>
      <c r="H19" s="24">
        <v>15</v>
      </c>
      <c r="I19" s="26">
        <f t="shared" si="7"/>
        <v>9.1999999999999993</v>
      </c>
      <c r="J19" s="26">
        <f t="shared" si="6"/>
        <v>9.620000000000001</v>
      </c>
      <c r="K19" s="61">
        <f t="shared" si="0"/>
        <v>9.41</v>
      </c>
      <c r="M19" s="24">
        <v>15</v>
      </c>
      <c r="N19" s="26">
        <f t="shared" si="5"/>
        <v>6.5</v>
      </c>
      <c r="O19" s="26">
        <f t="shared" si="4"/>
        <v>7</v>
      </c>
      <c r="P19" s="61">
        <f t="shared" si="1"/>
        <v>6.75</v>
      </c>
    </row>
    <row r="20" spans="1:16">
      <c r="C20" s="7"/>
      <c r="D20" s="16"/>
      <c r="H20" s="24">
        <v>16</v>
      </c>
      <c r="I20" s="26">
        <f t="shared" si="7"/>
        <v>9.620000000000001</v>
      </c>
      <c r="J20" s="26">
        <f t="shared" si="6"/>
        <v>10.040000000000001</v>
      </c>
      <c r="K20" s="61">
        <f t="shared" si="0"/>
        <v>9.8300000000000018</v>
      </c>
      <c r="M20" s="24">
        <v>16</v>
      </c>
      <c r="N20" s="26">
        <f t="shared" si="5"/>
        <v>7</v>
      </c>
      <c r="O20" s="26">
        <f t="shared" si="4"/>
        <v>7.5</v>
      </c>
      <c r="P20" s="61">
        <f t="shared" si="1"/>
        <v>7.25</v>
      </c>
    </row>
    <row r="21" spans="1:16">
      <c r="C21" s="7"/>
      <c r="D21" s="16"/>
      <c r="H21" s="24">
        <v>17</v>
      </c>
      <c r="I21" s="26">
        <f t="shared" si="7"/>
        <v>10.040000000000001</v>
      </c>
      <c r="J21" s="26">
        <f t="shared" si="6"/>
        <v>10.46</v>
      </c>
      <c r="K21" s="61">
        <f t="shared" si="0"/>
        <v>10.25</v>
      </c>
      <c r="M21" s="24">
        <v>17</v>
      </c>
      <c r="N21" s="26">
        <f t="shared" si="5"/>
        <v>7.5</v>
      </c>
      <c r="O21" s="26">
        <f t="shared" si="4"/>
        <v>8</v>
      </c>
      <c r="P21" s="61">
        <f t="shared" si="1"/>
        <v>7.75</v>
      </c>
    </row>
    <row r="22" spans="1:16">
      <c r="D22" s="16"/>
      <c r="H22" s="24">
        <v>18</v>
      </c>
      <c r="I22" s="26">
        <f t="shared" si="7"/>
        <v>10.46</v>
      </c>
      <c r="J22" s="26">
        <f t="shared" si="6"/>
        <v>10.88</v>
      </c>
      <c r="K22" s="61">
        <f t="shared" si="0"/>
        <v>10.670000000000002</v>
      </c>
      <c r="M22" s="24">
        <v>18</v>
      </c>
      <c r="N22" s="26">
        <f t="shared" si="5"/>
        <v>8</v>
      </c>
      <c r="O22" s="26">
        <f t="shared" si="4"/>
        <v>8.5</v>
      </c>
      <c r="P22" s="61">
        <f t="shared" si="1"/>
        <v>8.25</v>
      </c>
    </row>
    <row r="23" spans="1:16">
      <c r="C23" s="7"/>
      <c r="D23" s="16"/>
      <c r="H23" s="24">
        <v>19</v>
      </c>
      <c r="I23" s="26">
        <f t="shared" si="7"/>
        <v>10.88</v>
      </c>
      <c r="J23" s="26">
        <f t="shared" si="6"/>
        <v>11.3</v>
      </c>
      <c r="K23" s="61">
        <f t="shared" si="0"/>
        <v>11.09</v>
      </c>
      <c r="M23" s="24">
        <v>19</v>
      </c>
      <c r="N23" s="26">
        <f t="shared" si="5"/>
        <v>8.5</v>
      </c>
      <c r="O23" s="26">
        <f t="shared" si="4"/>
        <v>9</v>
      </c>
      <c r="P23" s="61">
        <f t="shared" si="1"/>
        <v>8.75</v>
      </c>
    </row>
    <row r="24" spans="1:16">
      <c r="C24" s="7"/>
      <c r="D24" s="16"/>
      <c r="H24" s="24">
        <v>20</v>
      </c>
      <c r="I24" s="26">
        <f t="shared" si="7"/>
        <v>11.3</v>
      </c>
      <c r="J24" s="26">
        <f t="shared" si="6"/>
        <v>11.72</v>
      </c>
      <c r="K24" s="61">
        <f t="shared" si="0"/>
        <v>11.510000000000002</v>
      </c>
      <c r="M24" s="24">
        <v>20</v>
      </c>
      <c r="N24" s="26">
        <f t="shared" si="5"/>
        <v>9</v>
      </c>
      <c r="O24" s="26">
        <f t="shared" si="4"/>
        <v>9.5</v>
      </c>
      <c r="P24" s="61">
        <f t="shared" si="1"/>
        <v>9.25</v>
      </c>
    </row>
    <row r="25" spans="1:16">
      <c r="C25" s="7"/>
      <c r="D25" s="16"/>
      <c r="H25" s="24">
        <v>21</v>
      </c>
      <c r="I25" s="26">
        <f t="shared" si="7"/>
        <v>11.72</v>
      </c>
      <c r="J25" s="26">
        <f t="shared" si="6"/>
        <v>12.14</v>
      </c>
      <c r="K25" s="61">
        <f t="shared" si="0"/>
        <v>11.93</v>
      </c>
      <c r="M25" s="24">
        <v>21</v>
      </c>
      <c r="N25" s="26">
        <f t="shared" si="5"/>
        <v>9.5</v>
      </c>
      <c r="O25" s="26">
        <f t="shared" si="4"/>
        <v>10</v>
      </c>
      <c r="P25" s="61">
        <f t="shared" si="1"/>
        <v>9.75</v>
      </c>
    </row>
    <row r="26" spans="1:16" ht="15.75" thickBot="1">
      <c r="C26" s="7"/>
      <c r="D26" s="23"/>
      <c r="H26" s="24">
        <v>22</v>
      </c>
      <c r="I26" s="26">
        <f t="shared" si="7"/>
        <v>12.14</v>
      </c>
      <c r="J26" s="26">
        <f t="shared" si="6"/>
        <v>12.56</v>
      </c>
      <c r="K26" s="61">
        <f t="shared" si="0"/>
        <v>12.350000000000001</v>
      </c>
      <c r="M26" s="63">
        <v>20</v>
      </c>
      <c r="N26" s="64" t="s">
        <v>264</v>
      </c>
      <c r="O26" s="64"/>
      <c r="P26" s="65"/>
    </row>
    <row r="27" spans="1:16" ht="15.75" thickTop="1">
      <c r="D27" s="22"/>
      <c r="H27" s="24">
        <v>23</v>
      </c>
      <c r="I27" s="26">
        <f t="shared" si="7"/>
        <v>12.56</v>
      </c>
      <c r="J27" s="26">
        <f t="shared" si="6"/>
        <v>12.98</v>
      </c>
      <c r="K27" s="61">
        <f t="shared" si="0"/>
        <v>12.77</v>
      </c>
    </row>
    <row r="28" spans="1:16">
      <c r="C28" s="7"/>
      <c r="D28" s="23"/>
      <c r="H28" s="24">
        <v>24</v>
      </c>
      <c r="I28" s="26">
        <f t="shared" si="7"/>
        <v>12.98</v>
      </c>
      <c r="J28" s="26">
        <f t="shared" si="6"/>
        <v>13.4</v>
      </c>
      <c r="K28" s="61">
        <f t="shared" si="0"/>
        <v>13.190000000000001</v>
      </c>
    </row>
    <row r="29" spans="1:16">
      <c r="C29" s="7"/>
      <c r="D29" s="35"/>
      <c r="H29" s="24">
        <v>25</v>
      </c>
      <c r="I29" s="26">
        <f>J28</f>
        <v>13.4</v>
      </c>
      <c r="J29" s="26">
        <f t="shared" si="6"/>
        <v>13.82</v>
      </c>
      <c r="K29" s="61">
        <f t="shared" si="0"/>
        <v>13.61</v>
      </c>
    </row>
    <row r="30" spans="1:16">
      <c r="C30" s="7"/>
      <c r="D30" s="16"/>
      <c r="H30" s="24">
        <v>26</v>
      </c>
      <c r="I30" s="26">
        <f t="shared" ref="I30:I38" si="8">J29</f>
        <v>13.82</v>
      </c>
      <c r="J30" s="26">
        <f t="shared" si="6"/>
        <v>14.240000000000002</v>
      </c>
      <c r="K30" s="61">
        <f t="shared" si="0"/>
        <v>14.030000000000001</v>
      </c>
    </row>
    <row r="31" spans="1:16">
      <c r="C31" s="7"/>
      <c r="D31" s="16"/>
      <c r="H31" s="24">
        <v>27</v>
      </c>
      <c r="I31" s="26">
        <f t="shared" si="8"/>
        <v>14.240000000000002</v>
      </c>
      <c r="J31" s="26">
        <f t="shared" si="6"/>
        <v>14.66</v>
      </c>
      <c r="K31" s="61">
        <f t="shared" si="0"/>
        <v>14.450000000000001</v>
      </c>
    </row>
    <row r="32" spans="1:16">
      <c r="C32" s="7"/>
      <c r="D32" s="16"/>
      <c r="H32" s="24">
        <v>28</v>
      </c>
      <c r="I32" s="26">
        <f t="shared" si="8"/>
        <v>14.66</v>
      </c>
      <c r="J32" s="26">
        <f t="shared" si="6"/>
        <v>15.080000000000002</v>
      </c>
      <c r="K32" s="61">
        <f t="shared" si="0"/>
        <v>14.870000000000001</v>
      </c>
    </row>
    <row r="33" spans="3:11">
      <c r="C33" s="7"/>
      <c r="D33" s="23"/>
      <c r="H33" s="24">
        <v>29</v>
      </c>
      <c r="I33" s="26">
        <f t="shared" si="8"/>
        <v>15.080000000000002</v>
      </c>
      <c r="J33" s="26">
        <f t="shared" si="6"/>
        <v>15.500000000000002</v>
      </c>
      <c r="K33" s="61">
        <f t="shared" si="0"/>
        <v>15.290000000000003</v>
      </c>
    </row>
    <row r="34" spans="3:11">
      <c r="H34" s="24">
        <v>30</v>
      </c>
      <c r="I34" s="26">
        <f t="shared" si="8"/>
        <v>15.500000000000002</v>
      </c>
      <c r="J34" s="26">
        <f t="shared" si="6"/>
        <v>15.92</v>
      </c>
      <c r="K34" s="61">
        <f t="shared" si="0"/>
        <v>15.71</v>
      </c>
    </row>
    <row r="35" spans="3:11">
      <c r="C35" s="7"/>
      <c r="D35" s="15"/>
      <c r="H35" s="24">
        <v>31</v>
      </c>
      <c r="I35" s="26">
        <f t="shared" si="8"/>
        <v>15.92</v>
      </c>
      <c r="J35" s="26">
        <f t="shared" si="6"/>
        <v>16.340000000000003</v>
      </c>
      <c r="K35" s="61">
        <f t="shared" si="0"/>
        <v>16.130000000000003</v>
      </c>
    </row>
    <row r="36" spans="3:11">
      <c r="C36" s="7"/>
      <c r="D36" s="15"/>
      <c r="H36" s="24">
        <v>32</v>
      </c>
      <c r="I36" s="26">
        <f>J35</f>
        <v>16.340000000000003</v>
      </c>
      <c r="J36" s="26">
        <f t="shared" si="6"/>
        <v>16.760000000000002</v>
      </c>
      <c r="K36" s="61">
        <f t="shared" si="0"/>
        <v>16.550000000000004</v>
      </c>
    </row>
    <row r="37" spans="3:11">
      <c r="C37" s="7"/>
      <c r="D37" s="15"/>
      <c r="H37" s="24">
        <v>33</v>
      </c>
      <c r="I37" s="26">
        <f t="shared" si="8"/>
        <v>16.760000000000002</v>
      </c>
      <c r="J37" s="26">
        <f t="shared" si="6"/>
        <v>17.18</v>
      </c>
      <c r="K37" s="61">
        <f t="shared" si="0"/>
        <v>16.97</v>
      </c>
    </row>
    <row r="38" spans="3:11" ht="15.75" thickBot="1">
      <c r="C38" s="7"/>
      <c r="D38" s="15"/>
      <c r="H38" s="27">
        <v>34</v>
      </c>
      <c r="I38" s="28">
        <f t="shared" si="8"/>
        <v>17.18</v>
      </c>
      <c r="J38" s="28">
        <f t="shared" si="6"/>
        <v>17.600000000000001</v>
      </c>
      <c r="K38" s="62">
        <f t="shared" si="0"/>
        <v>17.39</v>
      </c>
    </row>
    <row r="39" spans="3:11" ht="15.75" thickTop="1">
      <c r="C39" s="68"/>
      <c r="D39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2:F125"/>
  <sheetViews>
    <sheetView workbookViewId="0">
      <selection activeCell="D36" sqref="D36"/>
    </sheetView>
  </sheetViews>
  <sheetFormatPr defaultRowHeight="15"/>
  <cols>
    <col min="1" max="3" width="15.7109375" customWidth="1"/>
    <col min="4" max="4" width="14" customWidth="1"/>
    <col min="5" max="19" width="15.7109375" customWidth="1"/>
  </cols>
  <sheetData>
    <row r="2" spans="1:6">
      <c r="A2" s="46" t="s">
        <v>121</v>
      </c>
      <c r="B2" s="46"/>
      <c r="C2" s="46"/>
      <c r="D2" s="46"/>
      <c r="E2" s="46"/>
    </row>
    <row r="4" spans="1:6">
      <c r="A4" t="s">
        <v>118</v>
      </c>
    </row>
    <row r="5" spans="1:6">
      <c r="A5" t="s">
        <v>146</v>
      </c>
    </row>
    <row r="7" spans="1:6">
      <c r="B7" s="55" t="s">
        <v>119</v>
      </c>
      <c r="C7">
        <v>550</v>
      </c>
    </row>
    <row r="8" spans="1:6">
      <c r="B8" s="55" t="s">
        <v>192</v>
      </c>
      <c r="C8">
        <v>1.05</v>
      </c>
    </row>
    <row r="9" spans="1:6">
      <c r="B9" s="55" t="s">
        <v>191</v>
      </c>
      <c r="C9">
        <v>5.04</v>
      </c>
    </row>
    <row r="10" spans="1:6" s="53" customFormat="1">
      <c r="B10" s="55"/>
    </row>
    <row r="11" spans="1:6">
      <c r="A11" s="46" t="s">
        <v>120</v>
      </c>
      <c r="B11" s="45"/>
      <c r="C11" s="45"/>
      <c r="D11" s="45"/>
      <c r="E11" s="45"/>
    </row>
    <row r="13" spans="1:6">
      <c r="C13" s="7" t="s">
        <v>122</v>
      </c>
      <c r="D13" s="42">
        <v>1</v>
      </c>
      <c r="F13" t="s">
        <v>150</v>
      </c>
    </row>
    <row r="14" spans="1:6" ht="17.25">
      <c r="C14" s="7" t="s">
        <v>123</v>
      </c>
      <c r="D14" s="42">
        <v>490</v>
      </c>
      <c r="E14" t="s">
        <v>124</v>
      </c>
      <c r="F14" t="s">
        <v>125</v>
      </c>
    </row>
    <row r="15" spans="1:6" ht="17.25">
      <c r="C15" s="7" t="s">
        <v>126</v>
      </c>
      <c r="D15" s="42">
        <v>275</v>
      </c>
      <c r="E15" t="s">
        <v>127</v>
      </c>
      <c r="F15" t="s">
        <v>143</v>
      </c>
    </row>
    <row r="16" spans="1:6">
      <c r="C16" s="7" t="s">
        <v>128</v>
      </c>
      <c r="D16" s="42">
        <v>4</v>
      </c>
      <c r="E16" t="s">
        <v>98</v>
      </c>
      <c r="F16" t="s">
        <v>129</v>
      </c>
    </row>
    <row r="17" spans="2:6">
      <c r="C17" s="7" t="s">
        <v>148</v>
      </c>
      <c r="D17" s="42">
        <v>1.25</v>
      </c>
      <c r="E17" t="s">
        <v>130</v>
      </c>
      <c r="F17" t="s">
        <v>131</v>
      </c>
    </row>
    <row r="18" spans="2:6">
      <c r="C18" s="7" t="s">
        <v>149</v>
      </c>
      <c r="D18" s="42">
        <v>1.25</v>
      </c>
      <c r="E18" t="s">
        <v>130</v>
      </c>
      <c r="F18" t="s">
        <v>131</v>
      </c>
    </row>
    <row r="19" spans="2:6" s="53" customFormat="1">
      <c r="C19" s="55"/>
      <c r="D19" s="42"/>
    </row>
    <row r="20" spans="2:6">
      <c r="B20" s="39" t="s">
        <v>202</v>
      </c>
      <c r="C20" s="7"/>
    </row>
    <row r="21" spans="2:6">
      <c r="C21" s="7" t="s">
        <v>144</v>
      </c>
      <c r="D21" s="48">
        <f>abs_dia</f>
        <v>26.32</v>
      </c>
      <c r="E21" t="s">
        <v>98</v>
      </c>
    </row>
    <row r="22" spans="2:6">
      <c r="C22" s="7" t="s">
        <v>132</v>
      </c>
      <c r="D22" s="49">
        <f>abs_ht_mid</f>
        <v>12.600000000000001</v>
      </c>
      <c r="E22" t="s">
        <v>98</v>
      </c>
    </row>
    <row r="23" spans="2:6" ht="17.25">
      <c r="C23" s="7" t="s">
        <v>133</v>
      </c>
      <c r="D23" s="47">
        <f>PI()/4*D21^2*D22</f>
        <v>6855.3904692110109</v>
      </c>
      <c r="E23" t="s">
        <v>134</v>
      </c>
    </row>
    <row r="24" spans="2:6">
      <c r="C24" s="7" t="s">
        <v>145</v>
      </c>
      <c r="D24" s="49">
        <f>abs_ht_wash+abs_ht_mid+D16</f>
        <v>21.6</v>
      </c>
      <c r="E24" t="s">
        <v>98</v>
      </c>
    </row>
    <row r="25" spans="2:6">
      <c r="C25" s="7" t="s">
        <v>135</v>
      </c>
      <c r="D25" s="47">
        <f>PI()*(D21+$D$17/12)*(D24+0.8*D21)*$D$17/12*$D$14</f>
        <v>180740.77799457271</v>
      </c>
      <c r="E25" t="s">
        <v>136</v>
      </c>
      <c r="F25" t="s">
        <v>137</v>
      </c>
    </row>
    <row r="26" spans="2:6">
      <c r="C26" s="7" t="s">
        <v>138</v>
      </c>
      <c r="D26" s="47">
        <f>EXP(7.2756+0.18255*LN(abs_wt)+0.02297*LN(abs_wt)^2)*f_col_mat*cost_ce/500</f>
        <v>419308.39968872711</v>
      </c>
      <c r="E26" t="s">
        <v>139</v>
      </c>
      <c r="F26" t="s">
        <v>140</v>
      </c>
    </row>
    <row r="27" spans="2:6">
      <c r="C27" s="7" t="s">
        <v>141</v>
      </c>
      <c r="D27" s="47">
        <f>D23*D15</f>
        <v>1885232.3790330279</v>
      </c>
      <c r="E27" t="s">
        <v>139</v>
      </c>
    </row>
    <row r="28" spans="2:6">
      <c r="C28" s="7" t="s">
        <v>142</v>
      </c>
      <c r="D28" s="47">
        <f>(cost_ce/500)*300.9*D21^0.63316*D24^0.80161</f>
        <v>30817.297808518382</v>
      </c>
      <c r="E28" t="s">
        <v>139</v>
      </c>
      <c r="F28" t="s">
        <v>147</v>
      </c>
    </row>
    <row r="29" spans="2:6" s="53" customFormat="1">
      <c r="B29" s="39"/>
      <c r="C29" s="38" t="s">
        <v>271</v>
      </c>
      <c r="D29" s="66">
        <f>D26+D27+D28</f>
        <v>2335358.0765302731</v>
      </c>
      <c r="E29" s="39" t="s">
        <v>139</v>
      </c>
    </row>
    <row r="30" spans="2:6" s="53" customFormat="1">
      <c r="C30" s="55"/>
      <c r="D30" s="54"/>
    </row>
    <row r="31" spans="2:6" s="53" customFormat="1">
      <c r="B31" s="39" t="s">
        <v>269</v>
      </c>
      <c r="C31" s="55"/>
      <c r="D31" s="54"/>
    </row>
    <row r="32" spans="2:6" s="53" customFormat="1">
      <c r="C32" s="55" t="s">
        <v>273</v>
      </c>
      <c r="D32" s="48">
        <f>regen_dia</f>
        <v>17.37</v>
      </c>
      <c r="E32" s="53" t="s">
        <v>98</v>
      </c>
    </row>
    <row r="33" spans="1:6" s="53" customFormat="1">
      <c r="C33" s="55" t="s">
        <v>274</v>
      </c>
      <c r="D33" s="48">
        <f>ht_regen</f>
        <v>10</v>
      </c>
      <c r="E33" s="53" t="s">
        <v>98</v>
      </c>
    </row>
    <row r="34" spans="1:6" s="53" customFormat="1" ht="17.25">
      <c r="C34" s="55" t="s">
        <v>272</v>
      </c>
      <c r="D34" s="54">
        <f>PI()*D32^2/4*D33</f>
        <v>2369.6789912597155</v>
      </c>
      <c r="E34" s="53" t="s">
        <v>134</v>
      </c>
    </row>
    <row r="35" spans="1:6" s="53" customFormat="1">
      <c r="C35" s="55" t="s">
        <v>275</v>
      </c>
      <c r="D35" s="54">
        <f>D33+D16</f>
        <v>14</v>
      </c>
      <c r="E35" s="53" t="s">
        <v>98</v>
      </c>
    </row>
    <row r="36" spans="1:6" s="53" customFormat="1">
      <c r="C36" s="55" t="s">
        <v>276</v>
      </c>
      <c r="D36" s="54">
        <f>PI()*(D32+$D$17/12)*(D35+0.8*D32)*$D$17/12*$D$14</f>
        <v>78165.143171277028</v>
      </c>
      <c r="E36" s="53" t="s">
        <v>136</v>
      </c>
      <c r="F36" s="53" t="s">
        <v>137</v>
      </c>
    </row>
    <row r="37" spans="1:6" s="53" customFormat="1">
      <c r="C37" s="55" t="s">
        <v>277</v>
      </c>
      <c r="D37" s="54">
        <f>EXP(7.2756+0.18255*LN(reg_wt)+0.02297*LN(reg_wt)^2)*f_col_mat*cost_ce/500</f>
        <v>229426.87216788676</v>
      </c>
      <c r="E37" s="53" t="s">
        <v>139</v>
      </c>
      <c r="F37" s="53" t="s">
        <v>140</v>
      </c>
    </row>
    <row r="38" spans="1:6" s="53" customFormat="1">
      <c r="C38" s="55" t="s">
        <v>278</v>
      </c>
      <c r="D38" s="54">
        <f>D34*D15</f>
        <v>651661.72259642172</v>
      </c>
      <c r="E38" s="53" t="s">
        <v>139</v>
      </c>
    </row>
    <row r="39" spans="1:6" s="53" customFormat="1">
      <c r="C39" s="55" t="s">
        <v>279</v>
      </c>
      <c r="D39" s="54">
        <f>(cost_ce/500)*300.9*D32^0.63316*D35^0.80161</f>
        <v>16732.245214345392</v>
      </c>
      <c r="E39" s="53" t="s">
        <v>139</v>
      </c>
      <c r="F39" s="53" t="s">
        <v>147</v>
      </c>
    </row>
    <row r="40" spans="1:6">
      <c r="B40" s="39"/>
      <c r="C40" s="38" t="s">
        <v>270</v>
      </c>
      <c r="D40" s="66">
        <f>D37+D38+D39</f>
        <v>897820.83997865394</v>
      </c>
      <c r="E40" s="39" t="s">
        <v>139</v>
      </c>
      <c r="F40" s="39"/>
    </row>
    <row r="41" spans="1:6">
      <c r="C41" s="38"/>
      <c r="D41" s="47"/>
      <c r="E41" s="53"/>
    </row>
    <row r="42" spans="1:6">
      <c r="A42" s="45" t="s">
        <v>163</v>
      </c>
      <c r="B42" s="45"/>
      <c r="C42" s="45"/>
      <c r="D42" s="45"/>
      <c r="E42" s="45"/>
      <c r="F42" s="45"/>
    </row>
    <row r="44" spans="1:6">
      <c r="C44" s="7" t="s">
        <v>151</v>
      </c>
      <c r="D44" s="42">
        <v>1.1499999999999999</v>
      </c>
    </row>
    <row r="45" spans="1:6">
      <c r="C45" s="7" t="s">
        <v>152</v>
      </c>
      <c r="D45" s="42">
        <v>0</v>
      </c>
      <c r="F45" t="s">
        <v>153</v>
      </c>
    </row>
    <row r="46" spans="1:6">
      <c r="C46" s="7" t="s">
        <v>154</v>
      </c>
      <c r="D46" s="42">
        <v>0</v>
      </c>
      <c r="F46" t="s">
        <v>153</v>
      </c>
    </row>
    <row r="47" spans="1:6">
      <c r="D47" s="42"/>
    </row>
    <row r="48" spans="1:6">
      <c r="C48" s="7" t="s">
        <v>157</v>
      </c>
      <c r="D48" s="42">
        <v>90</v>
      </c>
      <c r="E48" s="50" t="s">
        <v>87</v>
      </c>
      <c r="F48" t="s">
        <v>158</v>
      </c>
    </row>
    <row r="49" spans="3:6">
      <c r="C49" s="7" t="s">
        <v>159</v>
      </c>
      <c r="D49" s="42">
        <v>105</v>
      </c>
      <c r="E49" s="50" t="s">
        <v>87</v>
      </c>
      <c r="F49" t="s">
        <v>160</v>
      </c>
    </row>
    <row r="50" spans="3:6" s="53" customFormat="1">
      <c r="C50" s="55" t="s">
        <v>319</v>
      </c>
      <c r="D50" s="42">
        <v>267</v>
      </c>
      <c r="E50" s="50" t="s">
        <v>87</v>
      </c>
      <c r="F50" s="53" t="s">
        <v>320</v>
      </c>
    </row>
    <row r="51" spans="3:6" s="53" customFormat="1">
      <c r="C51" s="55"/>
      <c r="D51" s="42"/>
      <c r="E51" s="50"/>
    </row>
    <row r="52" spans="3:6">
      <c r="C52" s="7" t="s">
        <v>166</v>
      </c>
      <c r="D52" s="42">
        <v>150</v>
      </c>
      <c r="E52" s="50" t="s">
        <v>155</v>
      </c>
      <c r="F52" t="s">
        <v>156</v>
      </c>
    </row>
    <row r="53" spans="3:6">
      <c r="C53" s="55" t="s">
        <v>280</v>
      </c>
      <c r="D53" s="48">
        <f>Sim!C74</f>
        <v>145.87451999999999</v>
      </c>
      <c r="E53" s="50" t="s">
        <v>87</v>
      </c>
    </row>
    <row r="54" spans="3:6">
      <c r="C54" s="55" t="s">
        <v>281</v>
      </c>
      <c r="D54" s="48">
        <f>D53+Input!E30</f>
        <v>127.97451999999998</v>
      </c>
      <c r="E54" s="50" t="s">
        <v>87</v>
      </c>
    </row>
    <row r="55" spans="3:6" s="53" customFormat="1">
      <c r="C55" s="55" t="s">
        <v>282</v>
      </c>
      <c r="D55" s="48">
        <f>$D$48</f>
        <v>90</v>
      </c>
      <c r="E55" s="50" t="s">
        <v>87</v>
      </c>
    </row>
    <row r="56" spans="3:6" s="53" customFormat="1">
      <c r="C56" s="55" t="s">
        <v>283</v>
      </c>
      <c r="D56" s="48">
        <f>$D$49</f>
        <v>105</v>
      </c>
      <c r="E56" s="50" t="s">
        <v>87</v>
      </c>
    </row>
    <row r="57" spans="3:6">
      <c r="C57" s="7" t="s">
        <v>164</v>
      </c>
      <c r="D57" s="47">
        <f>ABS(abs_ic_duty)</f>
        <v>58687309.200000003</v>
      </c>
      <c r="E57" s="50" t="s">
        <v>161</v>
      </c>
    </row>
    <row r="58" spans="3:6">
      <c r="C58" s="7" t="s">
        <v>165</v>
      </c>
      <c r="D58" s="49">
        <f>((D53-D56)-(D54-D55))/LN((D53-D56)/(D54-D55))</f>
        <v>39.406736997995132</v>
      </c>
      <c r="E58" t="s">
        <v>87</v>
      </c>
    </row>
    <row r="59" spans="3:6">
      <c r="C59" s="7" t="s">
        <v>167</v>
      </c>
      <c r="D59" s="47">
        <f>D57/D52/D58</f>
        <v>9928.4730938241664</v>
      </c>
      <c r="E59" t="s">
        <v>162</v>
      </c>
    </row>
    <row r="60" spans="3:6">
      <c r="C60" s="38" t="s">
        <v>212</v>
      </c>
      <c r="D60" s="47">
        <f>IF(D59&lt;100,0,(cost_ce/500)*($D$45+(D59/100)^$D$46)*EXP(11.147-0.9186*LN(D59)+0.09005*LN(D59)^2))</f>
        <v>33368.166707723001</v>
      </c>
      <c r="E60" t="s">
        <v>139</v>
      </c>
      <c r="F60" t="s">
        <v>168</v>
      </c>
    </row>
    <row r="61" spans="3:6" s="53" customFormat="1">
      <c r="C61" s="38"/>
      <c r="D61" s="54"/>
    </row>
    <row r="62" spans="3:6" s="53" customFormat="1">
      <c r="C62" s="55" t="s">
        <v>284</v>
      </c>
      <c r="D62" s="42">
        <v>150</v>
      </c>
      <c r="E62" s="50" t="s">
        <v>155</v>
      </c>
      <c r="F62" s="53" t="s">
        <v>156</v>
      </c>
    </row>
    <row r="63" spans="3:6" s="53" customFormat="1">
      <c r="C63" s="55" t="s">
        <v>285</v>
      </c>
      <c r="D63" s="48">
        <f>Sim!C42</f>
        <v>234.216927</v>
      </c>
      <c r="E63" s="50" t="s">
        <v>87</v>
      </c>
    </row>
    <row r="64" spans="3:6" s="53" customFormat="1">
      <c r="C64" s="55" t="s">
        <v>286</v>
      </c>
      <c r="D64" s="48">
        <f>Sim!C43</f>
        <v>300</v>
      </c>
      <c r="E64" s="50" t="s">
        <v>87</v>
      </c>
    </row>
    <row r="65" spans="3:6" s="53" customFormat="1">
      <c r="C65" s="55" t="s">
        <v>287</v>
      </c>
      <c r="D65" s="48">
        <f>Sim!C40</f>
        <v>80.330003399999995</v>
      </c>
      <c r="E65" s="50" t="s">
        <v>87</v>
      </c>
    </row>
    <row r="66" spans="3:6" s="53" customFormat="1">
      <c r="C66" s="55" t="s">
        <v>288</v>
      </c>
      <c r="D66" s="48">
        <f>Sim!C41</f>
        <v>214</v>
      </c>
      <c r="E66" s="50" t="s">
        <v>87</v>
      </c>
    </row>
    <row r="67" spans="3:6" s="53" customFormat="1">
      <c r="C67" s="55" t="s">
        <v>289</v>
      </c>
      <c r="D67" s="54">
        <f>lr_hx_Q</f>
        <v>-879220771</v>
      </c>
      <c r="E67" s="50" t="s">
        <v>161</v>
      </c>
    </row>
    <row r="68" spans="3:6" s="53" customFormat="1">
      <c r="C68" s="55" t="s">
        <v>290</v>
      </c>
      <c r="D68" s="49">
        <f>((D63-D66)-(D64-D65))/LN((D63-D66)/(D64-D65))</f>
        <v>83.606871575496882</v>
      </c>
      <c r="E68" s="53" t="s">
        <v>87</v>
      </c>
    </row>
    <row r="69" spans="3:6" s="53" customFormat="1">
      <c r="C69" s="55" t="s">
        <v>291</v>
      </c>
      <c r="D69" s="54">
        <f>D67/D62/D68</f>
        <v>-70107.536572203477</v>
      </c>
      <c r="E69" s="53" t="s">
        <v>162</v>
      </c>
    </row>
    <row r="70" spans="3:6" s="53" customFormat="1">
      <c r="C70" s="38" t="s">
        <v>292</v>
      </c>
      <c r="D70" s="54">
        <f>IF(D69&lt;100,0,(cost_ce/500)*($D$45+(D69/100)^$D$46)*EXP(11.147-0.9186*LN(D69)+0.09005*LN(D69)^2))</f>
        <v>0</v>
      </c>
      <c r="E70" s="53" t="s">
        <v>139</v>
      </c>
      <c r="F70" s="53" t="s">
        <v>168</v>
      </c>
    </row>
    <row r="71" spans="3:6" s="53" customFormat="1">
      <c r="C71" s="38"/>
      <c r="D71" s="54"/>
    </row>
    <row r="72" spans="3:6" s="53" customFormat="1">
      <c r="C72" s="55" t="s">
        <v>293</v>
      </c>
      <c r="D72" s="42">
        <v>190</v>
      </c>
      <c r="E72" s="50" t="s">
        <v>155</v>
      </c>
      <c r="F72" s="53" t="s">
        <v>156</v>
      </c>
    </row>
    <row r="73" spans="3:6" s="53" customFormat="1">
      <c r="C73" s="55" t="s">
        <v>294</v>
      </c>
      <c r="D73" s="48">
        <f>Sim!C43</f>
        <v>300</v>
      </c>
      <c r="E73" s="50" t="s">
        <v>87</v>
      </c>
    </row>
    <row r="74" spans="3:6" s="53" customFormat="1">
      <c r="C74" s="55" t="s">
        <v>295</v>
      </c>
      <c r="D74" s="48">
        <f>Sim!C44</f>
        <v>126</v>
      </c>
      <c r="E74" s="50" t="s">
        <v>87</v>
      </c>
    </row>
    <row r="75" spans="3:6" s="53" customFormat="1">
      <c r="C75" s="55" t="s">
        <v>296</v>
      </c>
      <c r="D75" s="48">
        <f>$D$48</f>
        <v>90</v>
      </c>
      <c r="E75" s="50" t="s">
        <v>87</v>
      </c>
    </row>
    <row r="76" spans="3:6" s="53" customFormat="1">
      <c r="C76" s="55" t="s">
        <v>297</v>
      </c>
      <c r="D76" s="48">
        <f>$D$49</f>
        <v>105</v>
      </c>
      <c r="E76" s="50" t="s">
        <v>87</v>
      </c>
    </row>
    <row r="77" spans="3:6" s="53" customFormat="1">
      <c r="C77" s="55" t="s">
        <v>298</v>
      </c>
      <c r="D77" s="54">
        <f>ABS(solvent_cl_duty)</f>
        <v>994564708</v>
      </c>
      <c r="E77" s="50" t="s">
        <v>161</v>
      </c>
    </row>
    <row r="78" spans="3:6" s="53" customFormat="1">
      <c r="C78" s="55" t="s">
        <v>299</v>
      </c>
      <c r="D78" s="49">
        <f>((D73-D76)-(D74-D75))/LN((D73-D76)/(D74-D75))</f>
        <v>94.111763170074184</v>
      </c>
      <c r="E78" s="53" t="s">
        <v>87</v>
      </c>
    </row>
    <row r="79" spans="3:6" s="53" customFormat="1">
      <c r="C79" s="55" t="s">
        <v>300</v>
      </c>
      <c r="D79" s="54">
        <f>D77/D72/D78</f>
        <v>55620.582575604465</v>
      </c>
      <c r="E79" s="53" t="s">
        <v>162</v>
      </c>
    </row>
    <row r="80" spans="3:6" s="53" customFormat="1">
      <c r="C80" s="38" t="s">
        <v>301</v>
      </c>
      <c r="D80" s="54">
        <f>IF(D79&lt;100,0,(cost_ce/500)*($D$45+(D79/100)^$D$46)*EXP(11.147-0.9186*LN(D79)+0.09005*LN(D79)^2))</f>
        <v>155741.3782666495</v>
      </c>
      <c r="E80" s="53" t="s">
        <v>139</v>
      </c>
      <c r="F80" s="53" t="s">
        <v>168</v>
      </c>
    </row>
    <row r="81" spans="3:6" s="53" customFormat="1">
      <c r="C81" s="38"/>
      <c r="D81" s="54"/>
    </row>
    <row r="82" spans="3:6" s="53" customFormat="1">
      <c r="C82" s="55" t="s">
        <v>310</v>
      </c>
      <c r="D82" s="42">
        <v>220</v>
      </c>
      <c r="E82" s="50" t="s">
        <v>155</v>
      </c>
      <c r="F82" s="53" t="s">
        <v>156</v>
      </c>
    </row>
    <row r="83" spans="3:6" s="53" customFormat="1">
      <c r="C83" s="55" t="s">
        <v>311</v>
      </c>
      <c r="D83" s="48">
        <f>Sim!C85</f>
        <v>207.915628</v>
      </c>
      <c r="E83" s="50" t="s">
        <v>87</v>
      </c>
    </row>
    <row r="84" spans="3:6" s="53" customFormat="1">
      <c r="C84" s="55" t="s">
        <v>312</v>
      </c>
      <c r="D84" s="48">
        <f>regen_profile</f>
        <v>110</v>
      </c>
      <c r="E84" s="50" t="s">
        <v>87</v>
      </c>
    </row>
    <row r="85" spans="3:6" s="53" customFormat="1">
      <c r="C85" s="55" t="s">
        <v>313</v>
      </c>
      <c r="D85" s="48">
        <f>$D$48</f>
        <v>90</v>
      </c>
      <c r="E85" s="50" t="s">
        <v>87</v>
      </c>
    </row>
    <row r="86" spans="3:6" s="53" customFormat="1">
      <c r="C86" s="55" t="s">
        <v>314</v>
      </c>
      <c r="D86" s="48">
        <f>$D$49</f>
        <v>105</v>
      </c>
      <c r="E86" s="50" t="s">
        <v>87</v>
      </c>
    </row>
    <row r="87" spans="3:6" s="53" customFormat="1">
      <c r="C87" s="55" t="s">
        <v>315</v>
      </c>
      <c r="D87" s="54">
        <f>ABS(cond_duty_regen)</f>
        <v>0</v>
      </c>
      <c r="E87" s="50" t="s">
        <v>161</v>
      </c>
    </row>
    <row r="88" spans="3:6" s="53" customFormat="1">
      <c r="C88" s="55" t="s">
        <v>316</v>
      </c>
      <c r="D88" s="49">
        <f>((D83-D86)-(D84-D85))/LN((D83-D86)/(D84-D85))</f>
        <v>50.614564963682746</v>
      </c>
      <c r="E88" s="53" t="s">
        <v>87</v>
      </c>
    </row>
    <row r="89" spans="3:6" s="53" customFormat="1">
      <c r="C89" s="55" t="s">
        <v>317</v>
      </c>
      <c r="D89" s="54">
        <f>D87/D82/D88</f>
        <v>0</v>
      </c>
      <c r="E89" s="53" t="s">
        <v>162</v>
      </c>
    </row>
    <row r="90" spans="3:6" s="53" customFormat="1">
      <c r="C90" s="38" t="s">
        <v>318</v>
      </c>
      <c r="D90" s="54">
        <f>IF(D89&lt;100,0,(cost_ce/500)*($D$45+(D89/100)^$D$46)*EXP(11.147-0.9186*LN(D89)+0.09005*LN(D89)^2))</f>
        <v>0</v>
      </c>
      <c r="E90" s="53" t="s">
        <v>139</v>
      </c>
      <c r="F90" s="53" t="s">
        <v>168</v>
      </c>
    </row>
    <row r="91" spans="3:6" s="53" customFormat="1">
      <c r="C91" s="38"/>
      <c r="D91" s="54"/>
    </row>
    <row r="92" spans="3:6" s="53" customFormat="1">
      <c r="C92" s="55" t="s">
        <v>302</v>
      </c>
      <c r="D92" s="42">
        <v>70</v>
      </c>
      <c r="E92" s="50" t="s">
        <v>155</v>
      </c>
      <c r="F92" s="53" t="s">
        <v>156</v>
      </c>
    </row>
    <row r="93" spans="3:6" s="53" customFormat="1">
      <c r="C93" s="55" t="s">
        <v>303</v>
      </c>
      <c r="D93" s="48">
        <f>D50</f>
        <v>267</v>
      </c>
      <c r="E93" s="50" t="s">
        <v>87</v>
      </c>
    </row>
    <row r="94" spans="3:6" s="53" customFormat="1">
      <c r="C94" s="55" t="s">
        <v>304</v>
      </c>
      <c r="D94" s="48">
        <f>D50</f>
        <v>267</v>
      </c>
      <c r="E94" s="50" t="s">
        <v>87</v>
      </c>
    </row>
    <row r="95" spans="3:6" s="53" customFormat="1">
      <c r="C95" s="55" t="s">
        <v>305</v>
      </c>
      <c r="D95" s="48">
        <f>rblr_T_regen_o</f>
        <v>0</v>
      </c>
      <c r="E95" s="50" t="s">
        <v>87</v>
      </c>
    </row>
    <row r="96" spans="3:6" s="53" customFormat="1">
      <c r="C96" s="55" t="s">
        <v>306</v>
      </c>
      <c r="D96" s="48">
        <f>rblr_T_regen_o</f>
        <v>0</v>
      </c>
      <c r="E96" s="50" t="s">
        <v>87</v>
      </c>
    </row>
    <row r="97" spans="1:6" s="53" customFormat="1">
      <c r="C97" s="55" t="s">
        <v>307</v>
      </c>
      <c r="D97" s="54">
        <f>rblr_duty_regen</f>
        <v>0</v>
      </c>
      <c r="E97" s="50" t="s">
        <v>161</v>
      </c>
    </row>
    <row r="98" spans="1:6" s="53" customFormat="1">
      <c r="C98" s="55" t="s">
        <v>321</v>
      </c>
      <c r="D98" s="49">
        <f>D93-D95</f>
        <v>267</v>
      </c>
      <c r="E98" s="53" t="s">
        <v>87</v>
      </c>
    </row>
    <row r="99" spans="1:6" s="53" customFormat="1">
      <c r="C99" s="55" t="s">
        <v>308</v>
      </c>
      <c r="D99" s="54">
        <f>D97/D92/D98</f>
        <v>0</v>
      </c>
      <c r="E99" s="53" t="s">
        <v>162</v>
      </c>
    </row>
    <row r="100" spans="1:6" s="53" customFormat="1">
      <c r="C100" s="38" t="s">
        <v>309</v>
      </c>
      <c r="D100" s="54">
        <f>IF(D99&lt;100,0,(cost_ce/500)*($D$45+(D99/100)^$D$46)*EXP(11.147-0.9186*LN(D99)+0.09005*LN(D99)^2))</f>
        <v>0</v>
      </c>
      <c r="E100" s="53" t="s">
        <v>139</v>
      </c>
      <c r="F100" s="53" t="s">
        <v>168</v>
      </c>
    </row>
    <row r="101" spans="1:6" s="53" customFormat="1">
      <c r="C101" s="38"/>
      <c r="D101" s="54"/>
    </row>
    <row r="102" spans="1:6" s="53" customFormat="1">
      <c r="C102" s="38" t="s">
        <v>322</v>
      </c>
      <c r="D102" s="54">
        <f>D60+D70+D80+D90+D100</f>
        <v>189109.54497437249</v>
      </c>
      <c r="E102" s="53" t="s">
        <v>139</v>
      </c>
    </row>
    <row r="104" spans="1:6">
      <c r="A104" s="56" t="s">
        <v>189</v>
      </c>
      <c r="B104" s="45"/>
      <c r="C104" s="45"/>
      <c r="D104" s="45"/>
      <c r="E104" s="45"/>
      <c r="F104" s="45"/>
    </row>
    <row r="106" spans="1:6">
      <c r="A106" s="51"/>
      <c r="B106" s="51"/>
      <c r="C106" s="52" t="s">
        <v>171</v>
      </c>
      <c r="D106" s="42">
        <v>1.35</v>
      </c>
      <c r="E106" s="51"/>
      <c r="F106" s="51" t="s">
        <v>172</v>
      </c>
    </row>
    <row r="107" spans="1:6">
      <c r="A107" s="53"/>
      <c r="B107" s="53"/>
      <c r="C107" s="55" t="s">
        <v>173</v>
      </c>
      <c r="D107" s="42">
        <v>35</v>
      </c>
      <c r="E107" s="53" t="s">
        <v>174</v>
      </c>
      <c r="F107" s="53" t="s">
        <v>175</v>
      </c>
    </row>
    <row r="109" spans="1:6">
      <c r="A109" s="53"/>
      <c r="B109" s="53"/>
      <c r="C109" s="55" t="s">
        <v>176</v>
      </c>
      <c r="D109" s="54">
        <f>Sim!E39/8.32/60</f>
        <v>5297.5294671474358</v>
      </c>
      <c r="E109" s="53" t="s">
        <v>177</v>
      </c>
      <c r="F109" s="53" t="s">
        <v>178</v>
      </c>
    </row>
    <row r="110" spans="1:6">
      <c r="A110" s="53"/>
      <c r="B110" s="53"/>
      <c r="C110" s="55" t="s">
        <v>179</v>
      </c>
      <c r="D110" s="54">
        <f>D109*D107^0.5</f>
        <v>31340.606980965425</v>
      </c>
      <c r="E110" s="53"/>
      <c r="F110" s="53" t="s">
        <v>180</v>
      </c>
    </row>
    <row r="111" spans="1:6">
      <c r="A111" s="53"/>
      <c r="B111" s="53"/>
      <c r="C111" s="55" t="s">
        <v>181</v>
      </c>
      <c r="D111" s="47">
        <f>(cost_ce/500)*EXP(9.7171-0.6019*LN(D110)+0.0519*LN(D110)^2)*D106</f>
        <v>12629.229717914308</v>
      </c>
      <c r="E111" s="53" t="s">
        <v>139</v>
      </c>
      <c r="F111" s="53" t="s">
        <v>182</v>
      </c>
    </row>
    <row r="112" spans="1:6">
      <c r="A112" s="53"/>
      <c r="B112" s="53"/>
      <c r="C112" s="55" t="s">
        <v>183</v>
      </c>
      <c r="D112" s="47" t="e">
        <f>(cost_ce/500)*EXP(5.8259+0.13141*LN(sol_pump_pow)+0.053255*LN(sol_pump_pow)^2+0.028628*LN(sol_pump_pow)^3-0.0035549*LN(sol_pump_pow)^4)</f>
        <v>#NUM!</v>
      </c>
      <c r="E112" s="53" t="s">
        <v>139</v>
      </c>
      <c r="F112" s="53" t="s">
        <v>184</v>
      </c>
    </row>
    <row r="114" spans="1:6">
      <c r="C114" s="38" t="s">
        <v>185</v>
      </c>
      <c r="D114" s="54" t="e">
        <f>D111+D112</f>
        <v>#NUM!</v>
      </c>
      <c r="E114" s="53" t="s">
        <v>139</v>
      </c>
    </row>
    <row r="116" spans="1:6">
      <c r="A116" s="56" t="s">
        <v>186</v>
      </c>
      <c r="B116" s="56"/>
      <c r="C116" s="56"/>
      <c r="D116" s="56"/>
      <c r="E116" s="56"/>
      <c r="F116" s="56"/>
    </row>
    <row r="118" spans="1:6">
      <c r="C118" s="38" t="s">
        <v>187</v>
      </c>
      <c r="D118" s="54" t="e">
        <f>D114+D102+D40+D29</f>
        <v>#NUM!</v>
      </c>
      <c r="E118" s="53" t="s">
        <v>139</v>
      </c>
    </row>
    <row r="119" spans="1:6">
      <c r="C119" s="38" t="s">
        <v>188</v>
      </c>
      <c r="D119" s="54" t="e">
        <f>D118*5</f>
        <v>#NUM!</v>
      </c>
      <c r="E119" s="53" t="s">
        <v>139</v>
      </c>
    </row>
    <row r="121" spans="1:6">
      <c r="A121" s="56" t="s">
        <v>190</v>
      </c>
      <c r="B121" s="56"/>
      <c r="C121" s="56"/>
      <c r="D121" s="56"/>
      <c r="E121" s="56"/>
      <c r="F121" s="56"/>
    </row>
    <row r="123" spans="1:6">
      <c r="C123" s="38" t="s">
        <v>190</v>
      </c>
      <c r="D123" s="54" t="e">
        <f>D119*C8*C9</f>
        <v>#NUM!</v>
      </c>
      <c r="E123" s="53" t="s">
        <v>139</v>
      </c>
    </row>
    <row r="125" spans="1:6">
      <c r="C125" s="5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4:F19"/>
  <sheetViews>
    <sheetView workbookViewId="0">
      <selection activeCell="D8" sqref="D8"/>
    </sheetView>
  </sheetViews>
  <sheetFormatPr defaultRowHeight="15"/>
  <cols>
    <col min="1" max="12" width="15.7109375" customWidth="1"/>
  </cols>
  <sheetData>
    <row r="4" spans="2:6">
      <c r="B4" t="s">
        <v>59</v>
      </c>
      <c r="C4" t="s">
        <v>60</v>
      </c>
      <c r="D4" t="s">
        <v>58</v>
      </c>
    </row>
    <row r="5" spans="2:6" ht="18">
      <c r="B5" s="19">
        <v>1</v>
      </c>
      <c r="C5" t="s">
        <v>46</v>
      </c>
      <c r="D5" s="20">
        <v>18.015000000000001</v>
      </c>
    </row>
    <row r="6" spans="2:6">
      <c r="B6" s="19">
        <v>2</v>
      </c>
      <c r="C6" t="s">
        <v>45</v>
      </c>
      <c r="D6" s="20">
        <v>61.084000000000003</v>
      </c>
    </row>
    <row r="7" spans="2:6" ht="18">
      <c r="B7" s="19">
        <v>3</v>
      </c>
      <c r="C7" t="s">
        <v>47</v>
      </c>
      <c r="D7" s="20">
        <v>34.082000000000001</v>
      </c>
    </row>
    <row r="8" spans="2:6" ht="18">
      <c r="B8" s="19">
        <v>4</v>
      </c>
      <c r="C8" t="s">
        <v>48</v>
      </c>
      <c r="D8" s="20">
        <v>44.01</v>
      </c>
    </row>
    <row r="9" spans="2:6" ht="18.75">
      <c r="B9" s="19">
        <v>5</v>
      </c>
      <c r="C9" t="s">
        <v>49</v>
      </c>
      <c r="D9" s="20">
        <v>61.018000000000001</v>
      </c>
    </row>
    <row r="10" spans="2:6" ht="17.25">
      <c r="B10" s="19">
        <v>6</v>
      </c>
      <c r="C10" t="s">
        <v>50</v>
      </c>
      <c r="D10" s="20">
        <f>D6+D8-D19</f>
        <v>104.08699999999999</v>
      </c>
    </row>
    <row r="11" spans="2:6" ht="17.25">
      <c r="B11" s="19">
        <v>7</v>
      </c>
      <c r="C11" t="s">
        <v>51</v>
      </c>
      <c r="D11" s="20">
        <f>D6+D19</f>
        <v>62.091000000000001</v>
      </c>
      <c r="F11" s="20"/>
    </row>
    <row r="12" spans="2:6" ht="18.75">
      <c r="B12" s="19">
        <v>8</v>
      </c>
      <c r="C12" t="s">
        <v>52</v>
      </c>
      <c r="D12" s="20">
        <v>60.010300000000001</v>
      </c>
    </row>
    <row r="13" spans="2:6" ht="17.25">
      <c r="B13" s="19">
        <v>9</v>
      </c>
      <c r="C13" t="s">
        <v>53</v>
      </c>
      <c r="D13" s="20">
        <v>33.073999999999998</v>
      </c>
    </row>
    <row r="14" spans="2:6" ht="17.25">
      <c r="B14" s="19">
        <v>10</v>
      </c>
      <c r="C14" t="s">
        <v>54</v>
      </c>
      <c r="D14" s="20">
        <v>32.067100000000003</v>
      </c>
    </row>
    <row r="15" spans="2:6" ht="17.25">
      <c r="B15" s="19">
        <v>11</v>
      </c>
      <c r="C15" t="s">
        <v>57</v>
      </c>
      <c r="D15" s="20">
        <v>19.023</v>
      </c>
    </row>
    <row r="16" spans="2:6" ht="17.25">
      <c r="B16" s="19">
        <v>12</v>
      </c>
      <c r="C16" t="s">
        <v>56</v>
      </c>
      <c r="D16" s="20">
        <v>17.007999999999999</v>
      </c>
    </row>
    <row r="17" spans="2:4" ht="18">
      <c r="B17" s="19">
        <v>13</v>
      </c>
      <c r="C17" t="s">
        <v>55</v>
      </c>
      <c r="D17" s="20">
        <v>28.013000000000002</v>
      </c>
    </row>
    <row r="19" spans="2:4">
      <c r="B19" s="19" t="s">
        <v>61</v>
      </c>
      <c r="C19" t="s">
        <v>62</v>
      </c>
      <c r="D19">
        <v>1.0069999999999999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3:W21"/>
  <sheetViews>
    <sheetView workbookViewId="0">
      <selection activeCell="D10" sqref="D10"/>
    </sheetView>
  </sheetViews>
  <sheetFormatPr defaultRowHeight="15"/>
  <cols>
    <col min="2" max="43" width="15.7109375" customWidth="1"/>
  </cols>
  <sheetData>
    <row r="3" spans="1:23">
      <c r="A3" s="53" t="s">
        <v>332</v>
      </c>
      <c r="B3" s="55" t="s">
        <v>341</v>
      </c>
      <c r="C3" s="55" t="s">
        <v>335</v>
      </c>
      <c r="D3" s="55" t="s">
        <v>343</v>
      </c>
      <c r="E3" s="55" t="s">
        <v>344</v>
      </c>
      <c r="F3" s="55" t="s">
        <v>345</v>
      </c>
      <c r="G3" s="55" t="s">
        <v>346</v>
      </c>
      <c r="H3" s="55" t="s">
        <v>347</v>
      </c>
      <c r="I3" s="55" t="s">
        <v>348</v>
      </c>
      <c r="J3" s="55" t="s">
        <v>349</v>
      </c>
      <c r="K3" s="55" t="s">
        <v>350</v>
      </c>
      <c r="L3" s="55" t="s">
        <v>351</v>
      </c>
      <c r="M3" s="55" t="s">
        <v>352</v>
      </c>
      <c r="N3" s="55" t="s">
        <v>353</v>
      </c>
      <c r="O3" s="55" t="s">
        <v>354</v>
      </c>
      <c r="P3" s="55" t="s">
        <v>355</v>
      </c>
      <c r="Q3" s="55" t="s">
        <v>356</v>
      </c>
      <c r="R3" s="55" t="s">
        <v>357</v>
      </c>
      <c r="S3" s="55" t="s">
        <v>358</v>
      </c>
      <c r="T3" s="55" t="s">
        <v>359</v>
      </c>
      <c r="U3" s="55" t="s">
        <v>360</v>
      </c>
      <c r="V3" s="55" t="s">
        <v>361</v>
      </c>
      <c r="W3" s="55" t="s">
        <v>362</v>
      </c>
    </row>
    <row r="4" spans="1:23">
      <c r="A4" s="53" t="s">
        <v>333</v>
      </c>
      <c r="B4" s="71" t="s">
        <v>342</v>
      </c>
      <c r="C4" s="72" t="s">
        <v>334</v>
      </c>
      <c r="D4" s="73" t="s">
        <v>364</v>
      </c>
      <c r="E4" s="73" t="s">
        <v>363</v>
      </c>
      <c r="F4" s="72" t="s">
        <v>365</v>
      </c>
      <c r="G4" s="72" t="s">
        <v>366</v>
      </c>
      <c r="H4" s="73" t="s">
        <v>367</v>
      </c>
      <c r="I4" s="73" t="s">
        <v>368</v>
      </c>
      <c r="J4" s="73" t="s">
        <v>369</v>
      </c>
      <c r="K4" s="72" t="s">
        <v>370</v>
      </c>
      <c r="L4" s="73" t="s">
        <v>371</v>
      </c>
      <c r="M4" s="71" t="s">
        <v>372</v>
      </c>
      <c r="N4" s="73" t="s">
        <v>373</v>
      </c>
      <c r="O4" s="72" t="s">
        <v>374</v>
      </c>
      <c r="P4" s="73" t="s">
        <v>375</v>
      </c>
      <c r="Q4" s="73" t="s">
        <v>376</v>
      </c>
      <c r="R4" s="72" t="s">
        <v>377</v>
      </c>
      <c r="S4" s="72" t="s">
        <v>378</v>
      </c>
      <c r="T4" s="73" t="s">
        <v>379</v>
      </c>
      <c r="U4" s="71" t="s">
        <v>380</v>
      </c>
      <c r="V4" s="73" t="s">
        <v>381</v>
      </c>
      <c r="W4" s="72" t="s">
        <v>382</v>
      </c>
    </row>
    <row r="5" spans="1:23">
      <c r="B5" s="54">
        <v>4085490</v>
      </c>
      <c r="C5" s="69">
        <v>0.26500000000000001</v>
      </c>
      <c r="D5">
        <v>0.79959999999999998</v>
      </c>
      <c r="E5">
        <v>-8094.81</v>
      </c>
      <c r="F5">
        <v>0</v>
      </c>
      <c r="G5">
        <v>-7.4840000000000002E-3</v>
      </c>
      <c r="H5">
        <v>98.566000000000003</v>
      </c>
      <c r="I5">
        <v>1353.8</v>
      </c>
      <c r="J5">
        <v>-14.3043</v>
      </c>
      <c r="K5">
        <v>0</v>
      </c>
      <c r="L5">
        <v>216.04900000000001</v>
      </c>
      <c r="M5">
        <v>-12431.7</v>
      </c>
      <c r="N5">
        <v>-35.481900000000003</v>
      </c>
      <c r="O5">
        <v>0</v>
      </c>
      <c r="P5">
        <v>1.282562</v>
      </c>
      <c r="Q5">
        <v>-3456.1790000000001</v>
      </c>
      <c r="R5">
        <v>0</v>
      </c>
      <c r="S5">
        <v>0</v>
      </c>
      <c r="T5">
        <v>132.899</v>
      </c>
      <c r="U5">
        <v>-13445.9</v>
      </c>
      <c r="V5">
        <v>-22.4773</v>
      </c>
      <c r="W5">
        <v>0</v>
      </c>
    </row>
    <row r="6" spans="1:23">
      <c r="B6" s="54">
        <v>4085490</v>
      </c>
      <c r="C6" s="69">
        <v>0.27</v>
      </c>
      <c r="D6" s="53">
        <v>0.79959999999999998</v>
      </c>
      <c r="E6" s="53">
        <v>-8094.81</v>
      </c>
      <c r="F6" s="53">
        <v>0</v>
      </c>
      <c r="G6" s="53">
        <v>-7.4840000000000002E-3</v>
      </c>
      <c r="H6" s="53">
        <v>98.566000000000003</v>
      </c>
      <c r="I6" s="53">
        <v>1353.8</v>
      </c>
      <c r="J6" s="53">
        <v>-14.3043</v>
      </c>
      <c r="K6" s="53">
        <v>0</v>
      </c>
      <c r="L6" s="53">
        <v>216.04900000000001</v>
      </c>
      <c r="M6" s="53">
        <v>-12431.7</v>
      </c>
      <c r="N6" s="53">
        <v>-35.481900000000003</v>
      </c>
      <c r="O6" s="53">
        <v>0</v>
      </c>
      <c r="P6" s="53">
        <v>1.282562</v>
      </c>
      <c r="Q6" s="53">
        <v>-3456.1790000000001</v>
      </c>
      <c r="R6" s="53">
        <v>0</v>
      </c>
      <c r="S6" s="53">
        <v>0</v>
      </c>
      <c r="T6" s="53">
        <v>132.899</v>
      </c>
      <c r="U6" s="53">
        <v>-13445.9</v>
      </c>
      <c r="V6" s="53">
        <v>-22.4773</v>
      </c>
      <c r="W6" s="53">
        <v>0</v>
      </c>
    </row>
    <row r="7" spans="1:23">
      <c r="B7" s="54">
        <v>4085490</v>
      </c>
      <c r="C7" s="69">
        <v>0.26</v>
      </c>
      <c r="D7" s="53">
        <v>0.79959999999999998</v>
      </c>
      <c r="E7" s="53">
        <v>-8094.81</v>
      </c>
      <c r="F7" s="53">
        <v>0</v>
      </c>
      <c r="G7" s="53">
        <v>-7.4840000000000002E-3</v>
      </c>
      <c r="H7" s="53">
        <v>98.566000000000003</v>
      </c>
      <c r="I7" s="53">
        <v>1353.8</v>
      </c>
      <c r="J7" s="53">
        <v>-14.3043</v>
      </c>
      <c r="K7" s="53">
        <v>0</v>
      </c>
      <c r="L7" s="53">
        <v>216.04900000000001</v>
      </c>
      <c r="M7" s="53">
        <v>-12431.7</v>
      </c>
      <c r="N7" s="53">
        <v>-35.481900000000003</v>
      </c>
      <c r="O7" s="53">
        <v>0</v>
      </c>
      <c r="P7" s="53">
        <v>1.282562</v>
      </c>
      <c r="Q7" s="53">
        <v>-3456.1790000000001</v>
      </c>
      <c r="R7" s="53">
        <v>0</v>
      </c>
      <c r="S7" s="53">
        <v>0</v>
      </c>
      <c r="T7" s="53">
        <v>132.899</v>
      </c>
      <c r="U7" s="53">
        <v>-13445.9</v>
      </c>
      <c r="V7" s="53">
        <v>-22.4773</v>
      </c>
      <c r="W7" s="53">
        <v>0</v>
      </c>
    </row>
    <row r="8" spans="1:23">
      <c r="B8" s="49"/>
    </row>
    <row r="9" spans="1:23">
      <c r="B9" s="49"/>
    </row>
    <row r="10" spans="1:23">
      <c r="B10" s="49"/>
    </row>
    <row r="11" spans="1:23">
      <c r="B11" s="49"/>
    </row>
    <row r="12" spans="1:23">
      <c r="B12" s="49"/>
    </row>
    <row r="13" spans="1:23">
      <c r="B13" s="49"/>
    </row>
    <row r="14" spans="1:23">
      <c r="B14" s="49"/>
    </row>
    <row r="15" spans="1:23">
      <c r="B15" s="49"/>
    </row>
    <row r="16" spans="1:23">
      <c r="B16" s="49"/>
    </row>
    <row r="17" spans="2:2">
      <c r="B17" s="49"/>
    </row>
    <row r="18" spans="2:2">
      <c r="B18" s="49"/>
    </row>
    <row r="19" spans="2:2">
      <c r="B19" s="49"/>
    </row>
    <row r="20" spans="2:2">
      <c r="B20" s="49"/>
    </row>
    <row r="21" spans="2:2">
      <c r="B21" s="49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3:M29"/>
  <sheetViews>
    <sheetView workbookViewId="0">
      <selection activeCell="G27" sqref="G27:L29"/>
    </sheetView>
  </sheetViews>
  <sheetFormatPr defaultRowHeight="15"/>
  <cols>
    <col min="2" max="22" width="15.7109375" customWidth="1"/>
  </cols>
  <sheetData>
    <row r="3" spans="1:13" ht="30">
      <c r="A3" s="70" t="s">
        <v>336</v>
      </c>
      <c r="B3" s="74" t="s">
        <v>339</v>
      </c>
      <c r="C3" s="74" t="s">
        <v>337</v>
      </c>
      <c r="D3" s="74" t="s">
        <v>383</v>
      </c>
      <c r="E3" s="74" t="s">
        <v>385</v>
      </c>
      <c r="F3" s="74" t="s">
        <v>386</v>
      </c>
      <c r="G3" s="70"/>
      <c r="H3" s="70"/>
      <c r="I3" s="70"/>
      <c r="J3" s="70"/>
      <c r="K3" s="70"/>
      <c r="L3" s="70"/>
      <c r="M3" s="70"/>
    </row>
    <row r="4" spans="1:13">
      <c r="A4" s="53" t="s">
        <v>333</v>
      </c>
      <c r="B4" s="72" t="s">
        <v>340</v>
      </c>
      <c r="C4" s="75" t="s">
        <v>338</v>
      </c>
      <c r="D4" s="71" t="s">
        <v>384</v>
      </c>
      <c r="E4" s="72" t="s">
        <v>91</v>
      </c>
      <c r="F4" s="72" t="s">
        <v>248</v>
      </c>
    </row>
    <row r="8" spans="1:13">
      <c r="D8" s="69"/>
      <c r="E8" s="20"/>
      <c r="F8" s="20"/>
    </row>
    <row r="9" spans="1:13">
      <c r="D9" s="69"/>
    </row>
    <row r="10" spans="1:13">
      <c r="D10" s="69"/>
    </row>
    <row r="11" spans="1:13">
      <c r="D11" s="69"/>
    </row>
    <row r="12" spans="1:13">
      <c r="D12" s="69"/>
    </row>
    <row r="27" spans="7:11">
      <c r="G27">
        <v>8</v>
      </c>
      <c r="H27" s="49">
        <v>0.86666667019017041</v>
      </c>
      <c r="I27" s="69">
        <v>0.89896583500061999</v>
      </c>
      <c r="J27" s="20">
        <v>0.80007070300000005</v>
      </c>
      <c r="K27" s="20">
        <v>0.79995213300000001</v>
      </c>
    </row>
    <row r="28" spans="7:11">
      <c r="G28">
        <v>8</v>
      </c>
      <c r="H28" s="49">
        <v>0.79999999841675162</v>
      </c>
      <c r="I28" s="69">
        <v>0.88562497181555955</v>
      </c>
      <c r="J28" s="20">
        <v>0.79831632799999996</v>
      </c>
      <c r="K28" s="20">
        <v>0.77641240899999997</v>
      </c>
    </row>
    <row r="29" spans="7:11">
      <c r="G29">
        <v>8</v>
      </c>
      <c r="H29" s="49">
        <v>0.84999999962747097</v>
      </c>
      <c r="I29" s="69">
        <v>0.91359056297389685</v>
      </c>
      <c r="J29" s="20">
        <v>0.80111021500000001</v>
      </c>
      <c r="K29" s="20">
        <v>0.82348281199999995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Input</vt:lpstr>
      <vt:lpstr>Sim</vt:lpstr>
      <vt:lpstr>Calculations</vt:lpstr>
      <vt:lpstr>Costs</vt:lpstr>
      <vt:lpstr>Components</vt:lpstr>
      <vt:lpstr>Series Input</vt:lpstr>
      <vt:lpstr>Series Output</vt:lpstr>
      <vt:lpstr>abs_1_fracc</vt:lpstr>
      <vt:lpstr>abs_2_fracc</vt:lpstr>
      <vt:lpstr>abs_co2_profile</vt:lpstr>
      <vt:lpstr>abs_dia</vt:lpstr>
      <vt:lpstr>abs_ht_mid</vt:lpstr>
      <vt:lpstr>abs_ht_wash</vt:lpstr>
      <vt:lpstr>abs_ic_dT</vt:lpstr>
      <vt:lpstr>abs_ic_duty</vt:lpstr>
      <vt:lpstr>abs_profile</vt:lpstr>
      <vt:lpstr>abs_wt</vt:lpstr>
      <vt:lpstr>cond_duty_regen</vt:lpstr>
      <vt:lpstr>cond_T_regen</vt:lpstr>
      <vt:lpstr>cond_T_regen_o</vt:lpstr>
      <vt:lpstr>cost_ce</vt:lpstr>
      <vt:lpstr>eq_par</vt:lpstr>
      <vt:lpstr>f_col_mat</vt:lpstr>
      <vt:lpstr>ht_regen</vt:lpstr>
      <vt:lpstr>input_s</vt:lpstr>
      <vt:lpstr>lean_load</vt:lpstr>
      <vt:lpstr>lr_hx_Q</vt:lpstr>
      <vt:lpstr>lr_rich_T</vt:lpstr>
      <vt:lpstr>mole_flow</vt:lpstr>
      <vt:lpstr>output_s</vt:lpstr>
      <vt:lpstr>P_abs_top</vt:lpstr>
      <vt:lpstr>P_regen_top</vt:lpstr>
      <vt:lpstr>P_sol_pump</vt:lpstr>
      <vt:lpstr>rblr_duty_regen</vt:lpstr>
      <vt:lpstr>rblr_T_regen_o</vt:lpstr>
      <vt:lpstr>reg_co2_profile</vt:lpstr>
      <vt:lpstr>reg_wt</vt:lpstr>
      <vt:lpstr>regen_dia</vt:lpstr>
      <vt:lpstr>regen_fracc</vt:lpstr>
      <vt:lpstr>regen_profile</vt:lpstr>
      <vt:lpstr>rich_T_regen</vt:lpstr>
      <vt:lpstr>slv_cool_01</vt:lpstr>
      <vt:lpstr>sol_pump_pow</vt:lpstr>
      <vt:lpstr>solvent_cl_duty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Jim Leek</cp:lastModifiedBy>
  <dcterms:created xsi:type="dcterms:W3CDTF">2010-04-08T12:42:36Z</dcterms:created>
  <dcterms:modified xsi:type="dcterms:W3CDTF">2012-01-06T22:47:18Z</dcterms:modified>
</cp:coreProperties>
</file>