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imSinterFiles\Excel_Install_Test\"/>
    </mc:Choice>
  </mc:AlternateContent>
  <xr:revisionPtr revIDLastSave="0" documentId="8_{7A3089DD-99DA-4DF9-99B4-85945798FB17}" xr6:coauthVersionLast="47" xr6:coauthVersionMax="47" xr10:uidLastSave="{00000000-0000-0000-0000-000000000000}"/>
  <bookViews>
    <workbookView xWindow="1170" yWindow="1170" windowWidth="38700" windowHeight="15435" xr2:uid="{00000000-000D-0000-FFFF-FFFF00000000}"/>
  </bookViews>
  <sheets>
    <sheet name="Interface" sheetId="1" r:id="rId1"/>
    <sheet name="Layout" sheetId="2" r:id="rId2"/>
    <sheet name="Calculations" sheetId="4" r:id="rId3"/>
    <sheet name="Series" sheetId="7" r:id="rId4"/>
  </sheets>
  <functionGroups builtInGroupCount="19"/>
  <definedNames>
    <definedName name="LEAN.LOADING">Interface!#REF!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/>
  <c r="L8" i="1" l="1"/>
  <c r="L2" i="1"/>
  <c r="L7" i="1"/>
  <c r="L6" i="1"/>
  <c r="L5" i="1"/>
  <c r="L4" i="1"/>
  <c r="L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jeslick</author>
    <author>Leek, Jim</author>
  </authors>
  <commentList>
    <comment ref="K2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Save the Excel sheet automatically after every run.</t>
        </r>
      </text>
    </comment>
    <comment ref="K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This option runs a simulation with the default inputs before running the requested simulation.  This can help get a simulation started from a reasonable initial point.</t>
        </r>
      </text>
    </comment>
    <comment ref="K4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 xml:space="preserve">Restart the simulation program before every run.  This option is the most reliable, but restarting the simulation every time can make a set of simulations take much more time.
</t>
        </r>
      </text>
    </comment>
    <comment ref="K5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 xml:space="preserve">Restart when the run id is divisible by restart mod.  This can be helpful when a simulation program has bugs like memory leaks that can cause problems after a simulation has been run many times.
</t>
        </r>
      </text>
    </comment>
    <comment ref="K6" authorId="0" shapeId="0" xr:uid="{00000000-0006-0000-0000-000005000000}">
      <text>
        <r>
          <rPr>
            <sz val="8"/>
            <color indexed="81"/>
            <rFont val="Tahoma"/>
            <family val="2"/>
          </rPr>
          <t xml:space="preserve">If 1, when a simulation fails the simulation will be restarted and run again.  This can help by returning to a sensible starting point.
</t>
        </r>
      </text>
    </comment>
    <comment ref="K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 xml:space="preserve">If a simulation fails, close the simulation program, but do not rerun it.
</t>
        </r>
      </text>
    </comment>
    <comment ref="K8" authorId="0" shapeId="0" xr:uid="{00000000-0006-0000-0000-000007000000}">
      <text>
        <r>
          <rPr>
            <b/>
            <sz val="8"/>
            <color indexed="81"/>
            <rFont val="Tahoma"/>
            <charset val="1"/>
          </rPr>
          <t>Close the simulation when you close this workbook</t>
        </r>
      </text>
    </comment>
    <comment ref="B10" authorId="1" shapeId="0" xr:uid="{00000000-0006-0000-0000-000008000000}">
      <text>
        <r>
          <rPr>
            <sz val="9"/>
            <color indexed="81"/>
            <rFont val="Tahoma"/>
            <charset val="1"/>
          </rPr>
          <t>The name of the macro to run min:  max:  default: RunSinter</t>
        </r>
      </text>
    </comment>
    <comment ref="F10" authorId="1" shapeId="0" xr:uid="{00000000-0006-0000-0000-000009000000}">
      <text>
        <r>
          <rPr>
            <sz val="9"/>
            <color indexed="81"/>
            <rFont val="Tahoma"/>
            <charset val="1"/>
          </rPr>
          <t>Jim's BMI</t>
        </r>
      </text>
    </comment>
    <comment ref="B11" authorId="1" shapeId="0" xr:uid="{00000000-0006-0000-0000-00000A000000}">
      <text>
        <r>
          <rPr>
            <sz val="9"/>
            <color indexed="81"/>
            <rFont val="Tahoma"/>
            <charset val="1"/>
          </rPr>
          <t>Jim's Height in inches min: 70 max: 78 default: 74</t>
        </r>
      </text>
    </comment>
    <comment ref="F11" authorId="1" shapeId="0" xr:uid="{00000000-0006-0000-0000-00000B000000}">
      <text>
        <r>
          <rPr>
            <sz val="9"/>
            <color indexed="81"/>
            <rFont val="Tahoma"/>
            <charset val="1"/>
          </rPr>
          <t>Joe's BMI</t>
        </r>
      </text>
    </comment>
    <comment ref="B12" authorId="1" shapeId="0" xr:uid="{00000000-0006-0000-0000-00000C000000}">
      <text>
        <r>
          <rPr>
            <sz val="9"/>
            <color indexed="81"/>
            <rFont val="Tahoma"/>
            <charset val="1"/>
          </rPr>
          <t>Jim's Weight in pounds min: 160 max: 170 default: 167</t>
        </r>
      </text>
    </comment>
    <comment ref="F12" authorId="1" shapeId="0" xr:uid="{00000000-0006-0000-0000-00000D000000}">
      <text>
        <r>
          <rPr>
            <sz val="9"/>
            <color indexed="81"/>
            <rFont val="Tahoma"/>
            <charset val="1"/>
          </rPr>
          <t>Yo Mama's BMI</t>
        </r>
      </text>
    </comment>
    <comment ref="B13" authorId="1" shapeId="0" xr:uid="{00000000-0006-0000-0000-00000E000000}">
      <text>
        <r>
          <rPr>
            <sz val="9"/>
            <color indexed="81"/>
            <rFont val="Tahoma"/>
            <charset val="1"/>
          </rPr>
          <t>Joe's Height in inches min: 20 max: 30 default: 24</t>
        </r>
      </text>
    </comment>
    <comment ref="F13" authorId="1" shapeId="0" xr:uid="{00000000-0006-0000-0000-00000F000000}">
      <text>
        <r>
          <rPr>
            <sz val="9"/>
            <color indexed="81"/>
            <rFont val="Tahoma"/>
            <charset val="1"/>
          </rPr>
          <t>The result of multiplication</t>
        </r>
      </text>
    </comment>
    <comment ref="B14" authorId="1" shapeId="0" xr:uid="{00000000-0006-0000-0000-000010000000}">
      <text>
        <r>
          <rPr>
            <sz val="9"/>
            <color indexed="81"/>
            <rFont val="Tahoma"/>
            <charset val="1"/>
          </rPr>
          <t>Joe's Weight in pounds min: 80 max: 200 default: 100</t>
        </r>
      </text>
    </comment>
    <comment ref="F14" authorId="1" shapeId="0" xr:uid="{00000000-0006-0000-0000-000011000000}">
      <text>
        <r>
          <rPr>
            <sz val="9"/>
            <color indexed="81"/>
            <rFont val="Tahoma"/>
            <charset val="1"/>
          </rPr>
          <t>The result of multiplication</t>
        </r>
      </text>
    </comment>
    <comment ref="B15" authorId="1" shapeId="0" xr:uid="{00000000-0006-0000-0000-000012000000}">
      <text>
        <r>
          <rPr>
            <sz val="9"/>
            <color indexed="81"/>
            <rFont val="Tahoma"/>
            <charset val="1"/>
          </rPr>
          <t>Yo Mama's Height in inches min: 60 max: 70 default: 63</t>
        </r>
      </text>
    </comment>
    <comment ref="F15" authorId="1" shapeId="0" xr:uid="{00000000-0006-0000-0000-000013000000}">
      <text>
        <r>
          <rPr>
            <sz val="9"/>
            <color indexed="81"/>
            <rFont val="Tahoma"/>
            <charset val="1"/>
          </rPr>
          <t>The result of multiplication</t>
        </r>
      </text>
    </comment>
    <comment ref="B16" authorId="1" shapeId="0" xr:uid="{00000000-0006-0000-0000-000014000000}">
      <text>
        <r>
          <rPr>
            <sz val="9"/>
            <color indexed="81"/>
            <rFont val="Tahoma"/>
            <charset val="1"/>
          </rPr>
          <t>Yo Mama's Weight in pounds min: 160 max: 240 default: 200</t>
        </r>
      </text>
    </comment>
    <comment ref="B17" authorId="1" shapeId="0" xr:uid="{00000000-0006-0000-0000-000015000000}">
      <text>
        <r>
          <rPr>
            <sz val="9"/>
            <color indexed="81"/>
            <rFont val="Tahoma"/>
            <charset val="1"/>
          </rPr>
          <t>Just 3 numbers to multiply min: 1 max: 5 default: 2</t>
        </r>
      </text>
    </comment>
    <comment ref="B18" authorId="1" shapeId="0" xr:uid="{00000000-0006-0000-0000-000016000000}">
      <text>
        <r>
          <rPr>
            <sz val="9"/>
            <color indexed="81"/>
            <rFont val="Tahoma"/>
            <charset val="1"/>
          </rPr>
          <t>Just 3 numbers to multiply min: 1 max: 5 default: 3</t>
        </r>
      </text>
    </comment>
    <comment ref="B19" authorId="1" shapeId="0" xr:uid="{00000000-0006-0000-0000-000017000000}">
      <text>
        <r>
          <rPr>
            <sz val="9"/>
            <color indexed="81"/>
            <rFont val="Tahoma"/>
            <charset val="1"/>
          </rPr>
          <t>Just 3 numbers to multiply min: 1 max: 5 default: 4</t>
        </r>
      </text>
    </comment>
    <comment ref="B20" authorId="1" shapeId="0" xr:uid="{00000000-0006-0000-0000-000018000000}">
      <text>
        <r>
          <rPr>
            <sz val="9"/>
            <color indexed="81"/>
            <rFont val="Tahoma"/>
            <charset val="1"/>
          </rPr>
          <t>Just 3 numbers to multiply min: 1 max: 5 default: 1</t>
        </r>
      </text>
    </comment>
    <comment ref="B21" authorId="1" shapeId="0" xr:uid="{00000000-0006-0000-0000-000019000000}">
      <text>
        <r>
          <rPr>
            <sz val="9"/>
            <color indexed="81"/>
            <rFont val="Tahoma"/>
            <charset val="1"/>
          </rPr>
          <t>Just 3 numbers to multiply min: 1 max: 5 default: 3</t>
        </r>
      </text>
    </comment>
    <comment ref="B22" authorId="1" shapeId="0" xr:uid="{00000000-0006-0000-0000-00001A000000}">
      <text>
        <r>
          <rPr>
            <sz val="9"/>
            <color indexed="81"/>
            <rFont val="Tahoma"/>
            <charset val="1"/>
          </rPr>
          <t>Just 3 numbers to multiply min: 1 max: 5 default: 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jeslick</author>
  </authors>
  <commentList>
    <comment ref="C9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 xml:space="preserve">Input or Output
</t>
        </r>
      </text>
    </comment>
    <comment ref="G9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Show name and description comment in the cell to the left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jeslick</author>
  </authors>
  <commentList>
    <comment ref="D3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jeslick:</t>
        </r>
        <r>
          <rPr>
            <sz val="8"/>
            <color indexed="81"/>
            <rFont val="Tahoma"/>
            <family val="2"/>
          </rPr>
          <t xml:space="preserve">
Put cell reference strings for inputs and outputs in this column.  Ex.: Interface!C11.
</t>
        </r>
      </text>
    </comment>
    <comment ref="E3" authorId="0" shapeId="0" xr:uid="{00000000-0006-0000-0300-000002000000}">
      <text>
        <r>
          <rPr>
            <b/>
            <sz val="8"/>
            <color indexed="81"/>
            <rFont val="Tahoma"/>
            <family val="2"/>
          </rPr>
          <t>jeslick:</t>
        </r>
        <r>
          <rPr>
            <sz val="8"/>
            <color indexed="81"/>
            <rFont val="Tahoma"/>
            <family val="2"/>
          </rPr>
          <t xml:space="preserve">
This column contains the string input or the string output depending on whether the variable is an input or output.</t>
        </r>
      </text>
    </comment>
    <comment ref="F4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 xml:space="preserve">This serise of number is the run id for each run in the series.  The series runs until this row is empty
</t>
        </r>
      </text>
    </comment>
  </commentList>
</comments>
</file>

<file path=xl/sharedStrings.xml><?xml version="1.0" encoding="utf-8"?>
<sst xmlns="http://schemas.openxmlformats.org/spreadsheetml/2006/main" count="133" uniqueCount="86">
  <si>
    <t>run id:</t>
  </si>
  <si>
    <t>end time:</t>
  </si>
  <si>
    <t>elapsed time (s):</t>
  </si>
  <si>
    <t>If you delete an input variable, the simulation will run with the default value.</t>
  </si>
  <si>
    <t>Before running auto layout, delete the existing layout and interface sheet.</t>
  </si>
  <si>
    <t>0 -- Index</t>
  </si>
  <si>
    <t>1 -- Name</t>
  </si>
  <si>
    <t>2 -- Mode</t>
  </si>
  <si>
    <t>3 -- Type1</t>
  </si>
  <si>
    <t>4 -- Sheet</t>
  </si>
  <si>
    <t>5 -- Cell</t>
  </si>
  <si>
    <t>6 -- Show Name</t>
  </si>
  <si>
    <t>8 -- Row</t>
  </si>
  <si>
    <t>9 -- Col</t>
  </si>
  <si>
    <t>10 -- Row Label</t>
  </si>
  <si>
    <t>11 -- Col Label</t>
  </si>
  <si>
    <t>7 -- Table Name</t>
  </si>
  <si>
    <t>output</t>
  </si>
  <si>
    <t>Run Options</t>
  </si>
  <si>
    <t>Restart every run:</t>
  </si>
  <si>
    <t>Run defaults first:</t>
  </si>
  <si>
    <t>status:</t>
  </si>
  <si>
    <t>Description</t>
  </si>
  <si>
    <t>Cell</t>
  </si>
  <si>
    <t>Type</t>
  </si>
  <si>
    <t>Elapsed Time (s)</t>
  </si>
  <si>
    <t>Interface!C6</t>
  </si>
  <si>
    <t>Run Status</t>
  </si>
  <si>
    <t>Interface!C7</t>
  </si>
  <si>
    <t>Restart mod:</t>
  </si>
  <si>
    <t>You can adjust the number formats manually</t>
  </si>
  <si>
    <t>Restart on Fail:</t>
  </si>
  <si>
    <t>Variables (If you make changes on the layout sheet delete below then redraw the layout):</t>
  </si>
  <si>
    <t>start time:</t>
  </si>
  <si>
    <t>After running auto layout you can modify the locations of variables, or delete rows entirely.</t>
  </si>
  <si>
    <t>After the layout is done, run the draw interface macro to put in initial values and labels.</t>
  </si>
  <si>
    <t>Run id --&gt;</t>
  </si>
  <si>
    <t>--</t>
  </si>
  <si>
    <t xml:space="preserve">Enter input and output cells bellow.  </t>
  </si>
  <si>
    <t>Fill out all input cells and the run id row.</t>
  </si>
  <si>
    <t>Close on Fail</t>
  </si>
  <si>
    <t>Save After Run:</t>
  </si>
  <si>
    <t>sim open?</t>
  </si>
  <si>
    <t>Close Sim on Exit</t>
  </si>
  <si>
    <t>Config File:</t>
  </si>
  <si>
    <t>exceltest-sinter.json</t>
  </si>
  <si>
    <t>macro</t>
  </si>
  <si>
    <t>Interface</t>
  </si>
  <si>
    <t>scalar</t>
  </si>
  <si>
    <t>input</t>
  </si>
  <si>
    <t>$C$10</t>
  </si>
  <si>
    <t>height.jim</t>
  </si>
  <si>
    <t>$C$11</t>
  </si>
  <si>
    <t>weight.jim</t>
  </si>
  <si>
    <t>$C$12</t>
  </si>
  <si>
    <t>height.joe</t>
  </si>
  <si>
    <t>$C$13</t>
  </si>
  <si>
    <t>weight.joe</t>
  </si>
  <si>
    <t>$C$14</t>
  </si>
  <si>
    <t>height.mama</t>
  </si>
  <si>
    <t>$C$15</t>
  </si>
  <si>
    <t>weight.mama</t>
  </si>
  <si>
    <t>$C$16</t>
  </si>
  <si>
    <t>height.vector</t>
  </si>
  <si>
    <t>vector</t>
  </si>
  <si>
    <t>$C$17</t>
  </si>
  <si>
    <t>weight.vector</t>
  </si>
  <si>
    <t>$C$20</t>
  </si>
  <si>
    <t>BMI.jim</t>
  </si>
  <si>
    <t>$G$10</t>
  </si>
  <si>
    <t>BMI.joe</t>
  </si>
  <si>
    <t>$G$11</t>
  </si>
  <si>
    <t>BMI.mama</t>
  </si>
  <si>
    <t>$G$12</t>
  </si>
  <si>
    <t>BMI.vector</t>
  </si>
  <si>
    <t>$G$13</t>
  </si>
  <si>
    <t>RunSinter</t>
  </si>
  <si>
    <t>height.vector(0)</t>
  </si>
  <si>
    <t>height.vector(1)</t>
  </si>
  <si>
    <t>height.vector(2)</t>
  </si>
  <si>
    <t>weight.vector(0)</t>
  </si>
  <si>
    <t>weight.vector(1)</t>
  </si>
  <si>
    <t>weight.vector(2)</t>
  </si>
  <si>
    <t>BMI.vector(0)</t>
  </si>
  <si>
    <t>BMI.vector(1)</t>
  </si>
  <si>
    <t>BMI.vector(2)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</si>
</sst>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1"/>
      <color rgb="FF0070C0"/>
      <name val="Calibri"/>
      <family val="2"/>
      <scheme val="minor"/>
    </font>
    <font>
      <sz val="10"/>
      <name val="Arial"/>
      <family val="2"/>
    </font>
    <font>
      <sz val="8"/>
      <color indexed="81"/>
      <name val="Tahoma"/>
      <family val="2"/>
    </font>
    <font>
      <sz val="11"/>
      <color rgb="FF00B0F0"/>
      <name val="Calibri"/>
      <family val="2"/>
      <scheme val="minor"/>
    </font>
    <font>
      <b/>
      <sz val="8"/>
      <color indexed="81"/>
      <name val="Tahoma"/>
      <charset val="1"/>
    </font>
    <font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auto="1"/>
      </bottom>
      <diagonal/>
    </border>
  </borders>
  <cellStyleXfs count="2">
    <xf numFmtId="0" fontId="0" fillId="0" borderId="0"/>
    <xf numFmtId="0" fontId="5" fillId="0" borderId="0"/>
  </cellStyleXfs>
  <cellXfs count="18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2" fontId="4" fillId="0" borderId="0" xfId="0" applyNumberFormat="1" applyFont="1" applyAlignment="1">
      <alignment horizontal="left"/>
    </xf>
    <xf numFmtId="164" fontId="4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2" fontId="0" fillId="0" borderId="1" xfId="0" applyNumberFormat="1" applyBorder="1"/>
    <xf numFmtId="0" fontId="0" fillId="0" borderId="1" xfId="0" applyBorder="1"/>
    <xf numFmtId="0" fontId="2" fillId="0" borderId="1" xfId="0" applyFont="1" applyBorder="1"/>
    <xf numFmtId="0" fontId="0" fillId="0" borderId="0" xfId="0" applyAlignment="1">
      <alignment horizontal="right"/>
    </xf>
    <xf numFmtId="0" fontId="2" fillId="0" borderId="0" xfId="0" applyFont="1"/>
    <xf numFmtId="2" fontId="0" fillId="0" borderId="0" xfId="0" applyNumberFormat="1"/>
    <xf numFmtId="0" fontId="4" fillId="0" borderId="0" xfId="0" applyFont="1" applyAlignment="1">
      <alignment horizontal="left"/>
    </xf>
    <xf numFmtId="0" fontId="0" fillId="0" borderId="0" xfId="0" quotePrefix="1" applyAlignment="1">
      <alignment horizontal="right"/>
    </xf>
    <xf numFmtId="0" fontId="1" fillId="0" borderId="0" xfId="0" applyFont="1" applyAlignment="1">
      <alignment horizontal="right"/>
    </xf>
    <xf numFmtId="0" fontId="7" fillId="0" borderId="0" xfId="0" applyFont="1"/>
    <xf numFmtId="0" fontId="1" fillId="0" borderId="0" xfId="0" applyFont="1"/>
    <xf numFmtId="0" fontId="4" fillId="0" borderId="0" xfId="0" applyFont="1"/>
  </cellXfs>
  <cellStyles count="2">
    <cellStyle name="Normal" xfId="0" builtinId="0"/>
    <cellStyle name="Normal 2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666750</xdr:colOff>
      <xdr:row>3</xdr:row>
      <xdr:rowOff>0</xdr:rowOff>
    </xdr:to>
    <xdr:sp macro="[0]!openSi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191000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Open</a:t>
          </a:r>
          <a:r>
            <a:rPr lang="en-US" sz="1100" baseline="0"/>
            <a:t> Simulation</a:t>
          </a:r>
          <a:endParaRPr lang="en-US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666750</xdr:colOff>
      <xdr:row>6</xdr:row>
      <xdr:rowOff>0</xdr:rowOff>
    </xdr:to>
    <xdr:sp macro="[0]!closeSim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191000" y="7620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Close</a:t>
          </a:r>
          <a:r>
            <a:rPr lang="en-US" sz="1100" baseline="0"/>
            <a:t> Simulation</a:t>
          </a:r>
          <a:endParaRPr lang="en-US" sz="1100"/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666750</xdr:colOff>
      <xdr:row>3</xdr:row>
      <xdr:rowOff>0</xdr:rowOff>
    </xdr:to>
    <xdr:sp macro="[0]!runSim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86500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Run Simulation</a:t>
          </a:r>
          <a:endParaRPr lang="en-US" sz="1100"/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666750</xdr:colOff>
      <xdr:row>6</xdr:row>
      <xdr:rowOff>0</xdr:rowOff>
    </xdr:to>
    <xdr:sp macro="[0]!reopenSim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286500" y="7620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Reopen Simulation</a:t>
          </a:r>
          <a:endParaRPr lang="en-US" sz="1100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666750</xdr:colOff>
      <xdr:row>3</xdr:row>
      <xdr:rowOff>0</xdr:rowOff>
    </xdr:to>
    <xdr:sp macro="[0]!loadDefaults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382000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Load Defaults</a:t>
          </a:r>
          <a:endParaRPr lang="en-US" sz="1100"/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666750</xdr:colOff>
      <xdr:row>6</xdr:row>
      <xdr:rowOff>0</xdr:rowOff>
    </xdr:to>
    <xdr:sp macro="[0]!drawInterfaceButon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82000" y="762000"/>
          <a:ext cx="1714500" cy="3810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Draw Interface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1</xdr:row>
      <xdr:rowOff>0</xdr:rowOff>
    </xdr:from>
    <xdr:to>
      <xdr:col>1</xdr:col>
      <xdr:colOff>885825</xdr:colOff>
      <xdr:row>3</xdr:row>
      <xdr:rowOff>0</xdr:rowOff>
    </xdr:to>
    <xdr:sp macro="[0]!autoLayoutButto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19075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Auto Layout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5</xdr:col>
      <xdr:colOff>666750</xdr:colOff>
      <xdr:row>2</xdr:row>
      <xdr:rowOff>0</xdr:rowOff>
    </xdr:to>
    <xdr:sp macro="[0]!runSerie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057525" y="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Run Series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2"/>
  <sheetViews>
    <sheetView tabSelected="1" workbookViewId="0">
      <selection activeCell="D3" sqref="D3"/>
    </sheetView>
  </sheetViews>
  <sheetFormatPr defaultRowHeight="15" x14ac:dyDescent="0.25"/>
  <cols>
    <col min="1" max="26" width="15.7109375" customWidth="1"/>
  </cols>
  <sheetData>
    <row r="1" spans="1:15" ht="14.45" x14ac:dyDescent="0.3">
      <c r="K1" s="10" t="s">
        <v>18</v>
      </c>
    </row>
    <row r="2" spans="1:15" ht="14.45" x14ac:dyDescent="0.3">
      <c r="B2" s="2" t="s">
        <v>44</v>
      </c>
      <c r="C2" s="1" t="s">
        <v>45</v>
      </c>
      <c r="K2" s="9" t="s">
        <v>41</v>
      </c>
      <c r="L2" s="14" t="b">
        <f>FALSE</f>
        <v>0</v>
      </c>
      <c r="N2" s="9" t="s">
        <v>42</v>
      </c>
      <c r="O2" s="15" t="b">
        <v>0</v>
      </c>
    </row>
    <row r="3" spans="1:15" ht="14.45" x14ac:dyDescent="0.3">
      <c r="B3" s="2" t="s">
        <v>0</v>
      </c>
      <c r="C3" s="1">
        <v>2</v>
      </c>
      <c r="K3" s="9" t="s">
        <v>20</v>
      </c>
      <c r="L3" s="14" t="b">
        <f>FALSE</f>
        <v>0</v>
      </c>
    </row>
    <row r="4" spans="1:15" ht="14.45" x14ac:dyDescent="0.3">
      <c r="B4" s="2" t="s">
        <v>33</v>
      </c>
      <c r="C4" s="3">
        <v>45747.631840277776</v>
      </c>
      <c r="K4" s="9" t="s">
        <v>19</v>
      </c>
      <c r="L4" s="14" t="b">
        <f>FALSE</f>
        <v>0</v>
      </c>
    </row>
    <row r="5" spans="1:15" ht="14.45" x14ac:dyDescent="0.3">
      <c r="B5" s="2" t="s">
        <v>1</v>
      </c>
      <c r="C5" s="3">
        <v>45747.631874999999</v>
      </c>
      <c r="K5" s="9" t="s">
        <v>29</v>
      </c>
      <c r="L5" s="14">
        <f>0</f>
        <v>0</v>
      </c>
    </row>
    <row r="6" spans="1:15" ht="14.45" x14ac:dyDescent="0.3">
      <c r="B6" s="2" t="s">
        <v>2</v>
      </c>
      <c r="C6" s="4">
        <f>(C5-C4)*24*60</f>
        <v>5.0000001210719347E-2</v>
      </c>
      <c r="K6" s="9" t="s">
        <v>31</v>
      </c>
      <c r="L6" s="14" t="b">
        <f>FALSE</f>
        <v>0</v>
      </c>
    </row>
    <row r="7" spans="1:15" ht="14.45" x14ac:dyDescent="0.3">
      <c r="B7" s="2" t="s">
        <v>21</v>
      </c>
      <c r="C7" s="12">
        <v>0</v>
      </c>
      <c r="K7" s="9" t="s">
        <v>40</v>
      </c>
      <c r="L7" s="14" t="b">
        <f>FALSE</f>
        <v>0</v>
      </c>
    </row>
    <row r="8" spans="1:15" thickBot="1" x14ac:dyDescent="0.35">
      <c r="A8" s="6" t="s">
        <v>32</v>
      </c>
      <c r="B8" s="6"/>
      <c r="C8" s="6"/>
      <c r="D8" s="6"/>
      <c r="E8" s="6"/>
      <c r="F8" s="6"/>
      <c r="G8" s="6"/>
      <c r="H8" s="6"/>
      <c r="I8" s="6"/>
      <c r="J8" s="7"/>
      <c r="K8" s="9" t="s">
        <v>43</v>
      </c>
      <c r="L8" s="14" t="b">
        <f>TRUE</f>
        <v>1</v>
      </c>
    </row>
    <row r="9" spans="1:15" thickTop="1" x14ac:dyDescent="0.3"/>
    <row r="10" spans="1:15" x14ac:dyDescent="0.25">
      <c r="B10" s="9" t="s">
        <v>46</v>
      </c>
      <c r="C10" s="16" t="s">
        <v>76</v>
      </c>
      <c r="F10" s="9" t="s">
        <v>68</v>
      </c>
      <c r="G10" s="17">
        <v>22.081081081081081</v>
      </c>
    </row>
    <row r="11" spans="1:15" x14ac:dyDescent="0.25">
      <c r="B11" s="9" t="s">
        <v>51</v>
      </c>
      <c r="C11" s="16">
        <v>74</v>
      </c>
      <c r="F11" s="9" t="s">
        <v>70</v>
      </c>
      <c r="G11" s="17">
        <v>122.0486111111111</v>
      </c>
    </row>
    <row r="12" spans="1:15" x14ac:dyDescent="0.25">
      <c r="B12" s="9" t="s">
        <v>53</v>
      </c>
      <c r="C12" s="16">
        <v>172</v>
      </c>
      <c r="F12" s="9" t="s">
        <v>72</v>
      </c>
      <c r="G12" s="17">
        <v>35.424540186444951</v>
      </c>
    </row>
    <row r="13" spans="1:15" x14ac:dyDescent="0.25">
      <c r="B13" s="9" t="s">
        <v>55</v>
      </c>
      <c r="C13" s="16">
        <v>24</v>
      </c>
      <c r="F13" s="9" t="s">
        <v>83</v>
      </c>
      <c r="G13" s="17">
        <v>2</v>
      </c>
    </row>
    <row r="14" spans="1:15" x14ac:dyDescent="0.25">
      <c r="B14" s="9" t="s">
        <v>57</v>
      </c>
      <c r="C14" s="16">
        <v>100</v>
      </c>
      <c r="F14" s="9" t="s">
        <v>84</v>
      </c>
      <c r="G14" s="17">
        <v>9</v>
      </c>
    </row>
    <row r="15" spans="1:15" x14ac:dyDescent="0.25">
      <c r="B15" s="9" t="s">
        <v>59</v>
      </c>
      <c r="C15" s="16">
        <v>63</v>
      </c>
      <c r="F15" s="9" t="s">
        <v>85</v>
      </c>
      <c r="G15" s="17">
        <v>20</v>
      </c>
    </row>
    <row r="16" spans="1:15" x14ac:dyDescent="0.25">
      <c r="B16" s="9" t="s">
        <v>61</v>
      </c>
      <c r="C16" s="16">
        <v>200</v>
      </c>
    </row>
    <row r="17" spans="2:3" x14ac:dyDescent="0.25">
      <c r="B17" s="9" t="s">
        <v>77</v>
      </c>
      <c r="C17" s="16">
        <v>2</v>
      </c>
    </row>
    <row r="18" spans="2:3" x14ac:dyDescent="0.25">
      <c r="B18" s="9" t="s">
        <v>78</v>
      </c>
      <c r="C18" s="16">
        <v>3</v>
      </c>
    </row>
    <row r="19" spans="2:3" x14ac:dyDescent="0.25">
      <c r="B19" s="9" t="s">
        <v>79</v>
      </c>
      <c r="C19" s="16">
        <v>4</v>
      </c>
    </row>
    <row r="20" spans="2:3" x14ac:dyDescent="0.25">
      <c r="B20" s="9" t="s">
        <v>80</v>
      </c>
      <c r="C20" s="16">
        <v>1</v>
      </c>
    </row>
    <row r="21" spans="2:3" x14ac:dyDescent="0.25">
      <c r="B21" s="9" t="s">
        <v>81</v>
      </c>
      <c r="C21" s="16">
        <v>3</v>
      </c>
    </row>
    <row r="22" spans="2:3" x14ac:dyDescent="0.25">
      <c r="B22" s="9" t="s">
        <v>82</v>
      </c>
      <c r="C22" s="16">
        <v>5</v>
      </c>
    </row>
  </sheetData>
  <dataValidations count="2">
    <dataValidation allowBlank="1" showInputMessage="1" showErrorMessage="1" promptTitle="Config File" prompt="Insert the filename of the Sinter Config file here.  It should have a .json extension, and be in the same directory as the simulation file." sqref="C2" xr:uid="{00000000-0002-0000-0000-000000000000}"/>
    <dataValidation allowBlank="1" showInputMessage="1" showErrorMessage="1" promptTitle="Config File:" prompt="Enter the config filename in the C2 cell (not this one)" sqref="B2" xr:uid="{00000000-0002-0000-0000-000001000000}"/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L22"/>
  <sheetViews>
    <sheetView topLeftCell="C1" zoomScaleNormal="100" workbookViewId="0">
      <selection activeCell="F27" sqref="F27"/>
    </sheetView>
  </sheetViews>
  <sheetFormatPr defaultRowHeight="15" x14ac:dyDescent="0.25"/>
  <cols>
    <col min="1" max="1" width="15.7109375" customWidth="1"/>
    <col min="2" max="2" width="40.7109375" customWidth="1"/>
    <col min="3" max="7" width="15.7109375" customWidth="1"/>
    <col min="8" max="8" width="30.7109375" customWidth="1"/>
    <col min="9" max="14" width="15.7109375" customWidth="1"/>
  </cols>
  <sheetData>
    <row r="2" spans="1:12" ht="14.45" x14ac:dyDescent="0.3">
      <c r="C2" t="s">
        <v>4</v>
      </c>
    </row>
    <row r="3" spans="1:12" ht="14.45" x14ac:dyDescent="0.3">
      <c r="C3" t="s">
        <v>34</v>
      </c>
    </row>
    <row r="4" spans="1:12" ht="14.45" x14ac:dyDescent="0.3">
      <c r="C4" t="s">
        <v>3</v>
      </c>
    </row>
    <row r="5" spans="1:12" ht="14.45" x14ac:dyDescent="0.3">
      <c r="C5" t="s">
        <v>35</v>
      </c>
    </row>
    <row r="6" spans="1:12" ht="14.45" x14ac:dyDescent="0.3">
      <c r="C6" t="s">
        <v>30</v>
      </c>
    </row>
    <row r="8" spans="1:12" ht="14.45" x14ac:dyDescent="0.3">
      <c r="B8" s="5"/>
      <c r="C8" s="5"/>
      <c r="D8" s="5"/>
      <c r="E8" s="5"/>
      <c r="F8" s="5"/>
      <c r="G8" s="5"/>
      <c r="H8" s="5"/>
      <c r="I8" s="5"/>
      <c r="J8" s="5"/>
      <c r="K8" s="5"/>
      <c r="L8" s="5"/>
    </row>
    <row r="9" spans="1:12" thickBot="1" x14ac:dyDescent="0.35">
      <c r="A9" s="8" t="s">
        <v>5</v>
      </c>
      <c r="B9" s="8" t="s">
        <v>6</v>
      </c>
      <c r="C9" s="8" t="s">
        <v>7</v>
      </c>
      <c r="D9" s="8" t="s">
        <v>8</v>
      </c>
      <c r="E9" s="8" t="s">
        <v>9</v>
      </c>
      <c r="F9" s="8" t="s">
        <v>10</v>
      </c>
      <c r="G9" s="8" t="s">
        <v>11</v>
      </c>
      <c r="H9" s="8" t="s">
        <v>16</v>
      </c>
      <c r="I9" s="8" t="s">
        <v>12</v>
      </c>
      <c r="J9" s="8" t="s">
        <v>13</v>
      </c>
      <c r="K9" s="8" t="s">
        <v>14</v>
      </c>
      <c r="L9" s="8" t="s">
        <v>15</v>
      </c>
    </row>
    <row r="10" spans="1:12" thickTop="1" x14ac:dyDescent="0.3">
      <c r="A10">
        <v>1</v>
      </c>
      <c r="B10" t="s">
        <v>46</v>
      </c>
      <c r="C10" t="s">
        <v>49</v>
      </c>
      <c r="D10" t="s">
        <v>48</v>
      </c>
      <c r="E10" t="s">
        <v>47</v>
      </c>
      <c r="F10" t="s">
        <v>50</v>
      </c>
      <c r="G10" t="b">
        <v>1</v>
      </c>
    </row>
    <row r="11" spans="1:12" x14ac:dyDescent="0.25">
      <c r="A11">
        <v>2</v>
      </c>
      <c r="B11" t="s">
        <v>51</v>
      </c>
      <c r="C11" t="s">
        <v>49</v>
      </c>
      <c r="D11" t="s">
        <v>48</v>
      </c>
      <c r="E11" t="s">
        <v>47</v>
      </c>
      <c r="F11" t="s">
        <v>52</v>
      </c>
      <c r="G11" t="b">
        <v>1</v>
      </c>
    </row>
    <row r="12" spans="1:12" x14ac:dyDescent="0.25">
      <c r="A12">
        <v>3</v>
      </c>
      <c r="B12" t="s">
        <v>53</v>
      </c>
      <c r="C12" t="s">
        <v>49</v>
      </c>
      <c r="D12" t="s">
        <v>48</v>
      </c>
      <c r="E12" t="s">
        <v>47</v>
      </c>
      <c r="F12" t="s">
        <v>54</v>
      </c>
      <c r="G12" t="b">
        <v>1</v>
      </c>
    </row>
    <row r="13" spans="1:12" x14ac:dyDescent="0.25">
      <c r="A13">
        <v>4</v>
      </c>
      <c r="B13" t="s">
        <v>55</v>
      </c>
      <c r="C13" t="s">
        <v>49</v>
      </c>
      <c r="D13" t="s">
        <v>48</v>
      </c>
      <c r="E13" t="s">
        <v>47</v>
      </c>
      <c r="F13" t="s">
        <v>56</v>
      </c>
      <c r="G13" t="b">
        <v>1</v>
      </c>
    </row>
    <row r="14" spans="1:12" x14ac:dyDescent="0.25">
      <c r="A14">
        <v>5</v>
      </c>
      <c r="B14" t="s">
        <v>57</v>
      </c>
      <c r="C14" t="s">
        <v>49</v>
      </c>
      <c r="D14" t="s">
        <v>48</v>
      </c>
      <c r="E14" t="s">
        <v>47</v>
      </c>
      <c r="F14" t="s">
        <v>58</v>
      </c>
      <c r="G14" t="b">
        <v>1</v>
      </c>
    </row>
    <row r="15" spans="1:12" x14ac:dyDescent="0.25">
      <c r="A15">
        <v>6</v>
      </c>
      <c r="B15" t="s">
        <v>59</v>
      </c>
      <c r="C15" t="s">
        <v>49</v>
      </c>
      <c r="D15" t="s">
        <v>48</v>
      </c>
      <c r="E15" t="s">
        <v>47</v>
      </c>
      <c r="F15" t="s">
        <v>60</v>
      </c>
      <c r="G15" t="b">
        <v>1</v>
      </c>
    </row>
    <row r="16" spans="1:12" x14ac:dyDescent="0.25">
      <c r="A16">
        <v>7</v>
      </c>
      <c r="B16" t="s">
        <v>61</v>
      </c>
      <c r="C16" t="s">
        <v>49</v>
      </c>
      <c r="D16" t="s">
        <v>48</v>
      </c>
      <c r="E16" t="s">
        <v>47</v>
      </c>
      <c r="F16" t="s">
        <v>62</v>
      </c>
      <c r="G16" t="b">
        <v>1</v>
      </c>
    </row>
    <row r="17" spans="1:7" x14ac:dyDescent="0.25">
      <c r="A17">
        <v>8</v>
      </c>
      <c r="B17" t="s">
        <v>63</v>
      </c>
      <c r="C17" t="s">
        <v>49</v>
      </c>
      <c r="D17" t="s">
        <v>64</v>
      </c>
      <c r="E17" t="s">
        <v>47</v>
      </c>
      <c r="F17" t="s">
        <v>65</v>
      </c>
      <c r="G17" t="b">
        <v>1</v>
      </c>
    </row>
    <row r="18" spans="1:7" x14ac:dyDescent="0.25">
      <c r="A18">
        <v>9</v>
      </c>
      <c r="B18" t="s">
        <v>66</v>
      </c>
      <c r="C18" t="s">
        <v>49</v>
      </c>
      <c r="D18" t="s">
        <v>64</v>
      </c>
      <c r="E18" t="s">
        <v>47</v>
      </c>
      <c r="F18" t="s">
        <v>67</v>
      </c>
      <c r="G18" t="b">
        <v>1</v>
      </c>
    </row>
    <row r="19" spans="1:7" x14ac:dyDescent="0.25">
      <c r="A19">
        <v>10</v>
      </c>
      <c r="B19" t="s">
        <v>68</v>
      </c>
      <c r="C19" t="s">
        <v>17</v>
      </c>
      <c r="D19" t="s">
        <v>48</v>
      </c>
      <c r="E19" t="s">
        <v>47</v>
      </c>
      <c r="F19" t="s">
        <v>69</v>
      </c>
      <c r="G19" t="b">
        <v>1</v>
      </c>
    </row>
    <row r="20" spans="1:7" x14ac:dyDescent="0.25">
      <c r="A20">
        <v>11</v>
      </c>
      <c r="B20" t="s">
        <v>70</v>
      </c>
      <c r="C20" t="s">
        <v>17</v>
      </c>
      <c r="D20" t="s">
        <v>48</v>
      </c>
      <c r="E20" t="s">
        <v>47</v>
      </c>
      <c r="F20" t="s">
        <v>71</v>
      </c>
      <c r="G20" t="b">
        <v>1</v>
      </c>
    </row>
    <row r="21" spans="1:7" x14ac:dyDescent="0.25">
      <c r="A21">
        <v>12</v>
      </c>
      <c r="B21" t="s">
        <v>72</v>
      </c>
      <c r="C21" t="s">
        <v>17</v>
      </c>
      <c r="D21" t="s">
        <v>48</v>
      </c>
      <c r="E21" t="s">
        <v>47</v>
      </c>
      <c r="F21" t="s">
        <v>73</v>
      </c>
      <c r="G21" t="b">
        <v>1</v>
      </c>
    </row>
    <row r="22" spans="1:7" x14ac:dyDescent="0.25">
      <c r="A22">
        <v>13</v>
      </c>
      <c r="B22" t="s">
        <v>74</v>
      </c>
      <c r="C22" t="s">
        <v>17</v>
      </c>
      <c r="D22" t="s">
        <v>64</v>
      </c>
      <c r="E22" t="s">
        <v>47</v>
      </c>
      <c r="F22" t="s">
        <v>75</v>
      </c>
      <c r="G22" t="b">
        <v>1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"/>
  <sheetViews>
    <sheetView workbookViewId="0">
      <selection sqref="A1:N150"/>
    </sheetView>
  </sheetViews>
  <sheetFormatPr defaultRowHeight="15" x14ac:dyDescent="0.25"/>
  <cols>
    <col min="1" max="16" width="15.7109375" customWidth="1"/>
  </cols>
  <sheetData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C1:G6"/>
  <sheetViews>
    <sheetView workbookViewId="0">
      <selection activeCell="D12" sqref="D12"/>
    </sheetView>
  </sheetViews>
  <sheetFormatPr defaultRowHeight="15" x14ac:dyDescent="0.25"/>
  <cols>
    <col min="1" max="2" width="4.7109375" customWidth="1"/>
    <col min="3" max="3" width="15.7109375" customWidth="1"/>
    <col min="4" max="4" width="20.7109375" customWidth="1"/>
    <col min="5" max="17" width="15.7109375" customWidth="1"/>
  </cols>
  <sheetData>
    <row r="1" spans="3:7" x14ac:dyDescent="0.3">
      <c r="C1" t="s">
        <v>38</v>
      </c>
    </row>
    <row r="2" spans="3:7" x14ac:dyDescent="0.3">
      <c r="C2" s="11" t="s">
        <v>39</v>
      </c>
    </row>
    <row r="3" spans="3:7" x14ac:dyDescent="0.3">
      <c r="C3" s="2" t="s">
        <v>22</v>
      </c>
      <c r="D3" s="2" t="s">
        <v>23</v>
      </c>
      <c r="E3" s="2" t="s">
        <v>24</v>
      </c>
    </row>
    <row r="4" spans="3:7" x14ac:dyDescent="0.3">
      <c r="C4" s="13" t="s">
        <v>37</v>
      </c>
      <c r="D4" s="13" t="s">
        <v>37</v>
      </c>
      <c r="E4" s="2" t="s">
        <v>36</v>
      </c>
      <c r="F4">
        <v>1</v>
      </c>
      <c r="G4">
        <v>2</v>
      </c>
    </row>
    <row r="5" spans="3:7" x14ac:dyDescent="0.3">
      <c r="C5" s="9" t="s">
        <v>25</v>
      </c>
      <c r="D5" s="13" t="s">
        <v>26</v>
      </c>
      <c r="E5" s="9" t="s">
        <v>17</v>
      </c>
      <c r="F5">
        <v>4.000000306405127</v>
      </c>
      <c r="G5">
        <v>9.9999998230487108</v>
      </c>
    </row>
    <row r="6" spans="3:7" x14ac:dyDescent="0.3">
      <c r="C6" s="9" t="s">
        <v>27</v>
      </c>
      <c r="D6" s="13" t="s">
        <v>28</v>
      </c>
      <c r="E6" s="9" t="s">
        <v>17</v>
      </c>
      <c r="F6">
        <v>1</v>
      </c>
      <c r="G6">
        <v>1</v>
      </c>
    </row>
  </sheetData>
  <pageMargins left="0.7" right="0.7" top="0.75" bottom="0.75" header="0.3" footer="0.3"/>
  <pageSetup orientation="portrait" horizontalDpi="300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Interface</vt:lpstr>
      <vt:lpstr>Layout</vt:lpstr>
      <vt:lpstr>Calculations</vt:lpstr>
      <vt:lpstr>Series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jeslick</dc:creator>
  <cp:lastModifiedBy>Karlo Berket</cp:lastModifiedBy>
  <dcterms:created xsi:type="dcterms:W3CDTF">2012-04-30T16:38:58Z</dcterms:created>
  <dcterms:modified xsi:type="dcterms:W3CDTF">2025-03-31T22:10:22Z</dcterms:modified>
</cp:coreProperties>
</file>